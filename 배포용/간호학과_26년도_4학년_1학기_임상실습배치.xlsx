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700"/>
  </x:bookViews>
  <x:sheets>
    <x:sheet name="배치결과(원본)" sheetId="1" r:id="rId4"/>
    <x:sheet name="배치결과(분할_재배치)" sheetId="2" r:id="rId5"/>
    <x:sheet name="명단" sheetId="3" r:id="rId6"/>
    <x:sheet name="배치결과(이름)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<x:sst xmlns:r="http://schemas.openxmlformats.org/officeDocument/2006/relationships" xmlns:c="http://schemas.openxmlformats.org/drawingml/2006/chart" xmlns:x="http://schemas.openxmlformats.org/spreadsheetml/2006/main" count="349" uniqueCount="134">
  <x:si>
    <x:t>해당 시트 주의사항
CTRL + X 또는 드래그로 값 이동 금지</x:t>
  </x:si>
  <x:si>
    <x:t>T7</x:t>
  </x:si>
  <x:si>
    <x:t>T3</x:t>
  </x:si>
  <x:si>
    <x:t>T6</x:t>
  </x:si>
  <x:si>
    <x:t>과목명</x:t>
  </x:si>
  <x:si>
    <x:t>이름</x:t>
  </x:si>
  <x:si>
    <x:t>병원명</x:t>
  </x:si>
  <x:si>
    <x:t>T8</x:t>
  </x:si>
  <x:si>
    <x:t>지역</x:t>
  </x:si>
  <x:si>
    <x:t>T2</x:t>
  </x:si>
  <x:si>
    <x:t>정신</x:t>
  </x:si>
  <x:si>
    <x:t xml:space="preserve"> </x:t>
  </x:si>
  <x:si>
    <x:t>아동</x:t>
  </x:si>
  <x:si>
    <x:t>T10</x:t>
  </x:si>
  <x:si>
    <x:t>T5</x:t>
  </x:si>
  <x:si>
    <x:t>B46</x:t>
  </x:si>
  <x:si>
    <x:t>B반</x:t>
  </x:si>
  <x:si>
    <x:t>T4</x:t>
  </x:si>
  <x:si>
    <x:t>T9</x:t>
  </x:si>
  <x:si>
    <x:t>T1</x:t>
  </x:si>
  <x:si>
    <x:t>A반</x:t>
  </x:si>
  <x:si>
    <x:t>모성</x:t>
  </x:si>
  <x:si>
    <x:t>B42</x:t>
  </x:si>
  <x:si>
    <x:t/>
  </x:si>
  <x:si>
    <x:t>학번</x:t>
  </x:si>
  <x:si>
    <x:t xml:space="preserve">  </x:t>
  </x:si>
  <x:si>
    <x:t>No.</x:t>
  </x:si>
  <x:si>
    <x:t xml:space="preserve">   </x:t>
  </x:si>
  <x:si>
    <x:t xml:space="preserve">B28 B33 </x:t>
  </x:si>
  <x:si>
    <x:t>고려대학교 안암병원</x:t>
  </x:si>
  <x:si>
    <x:t>마포구정신건강복지센터</x:t>
  </x:si>
  <x:si>
    <x:t>강릉원주대학교 보건실</x:t>
  </x:si>
  <x:si>
    <x:t>원주세브란스기독병원</x:t>
  </x:si>
  <x:si>
    <x:t>경희의료원(NICU)</x:t>
  </x:si>
  <x:si>
    <x:t>A12 A31 A33</x:t>
  </x:si>
  <x:si>
    <x:t>B17 B30 B7</x:t>
  </x:si>
  <x:si>
    <x:t xml:space="preserve">B24 B25 </x:t>
  </x:si>
  <x:si>
    <x:t>B12 B19 B25</x:t>
  </x:si>
  <x:si>
    <x:t>A30 A42 A5</x:t>
  </x:si>
  <x:si>
    <x:t>A25 A29 A35</x:t>
  </x:si>
  <x:si>
    <x:t>B22 B29 B32</x:t>
  </x:si>
  <x:si>
    <x:t xml:space="preserve">B31 B37 </x:t>
  </x:si>
  <x:si>
    <x:t xml:space="preserve">A13 A2 A3 </x:t>
  </x:si>
  <x:si>
    <x:t xml:space="preserve">B32 B35 </x:t>
  </x:si>
  <x:si>
    <x:t>B14 B2 B21 B22 B24 B25 B27 B3 B45 B47 B5 B6</x:t>
  </x:si>
  <x:si>
    <x:t>B1 B11 B13 B15 B17 B20 B23 B26 B29 B30 B40 B43 B44 B49 B8 B9</x:t>
  </x:si>
  <x:si>
    <x:t xml:space="preserve">B10 B12 B16 B19 </x:t>
  </x:si>
  <x:si>
    <x:t>A16 A17 A19 A36 A41</x:t>
  </x:si>
  <x:si>
    <x:t>A10 A24 A25 A27 A44</x:t>
  </x:si>
  <x:si>
    <x:t xml:space="preserve">B17 B20 B23 B26 </x:t>
  </x:si>
  <x:si>
    <x:t>A17 A18 A19 A20 A24</x:t>
  </x:si>
  <x:si>
    <x:t>원주세브란스기독병원(22병동)</x:t>
  </x:si>
  <x:si>
    <x:t>B10 B12 B16 B19 B28 B33 B4 B48</x:t>
  </x:si>
  <x:si>
    <x:t>B29 B30 B40 B43 B44 B49 B8 B9</x:t>
  </x:si>
  <x:si>
    <x:t>B1 B16 B18 B19 B20 B23 B26 B46</x:t>
  </x:si>
  <x:si>
    <x:t>A10 A12 A14 A17 A18 A19 A20 A24</x:t>
  </x:si>
  <x:si>
    <x:t>B26 B9</x:t>
  </x:si>
  <x:si>
    <x:t>A6 A7</x:t>
  </x:si>
  <x:si>
    <x:t>늘푸른집</x:t>
  </x:si>
  <x:si>
    <x:t>임상심화실습1</x:t>
  </x:si>
  <x:si>
    <x:t>삼성서울</x:t>
  </x:si>
  <x:si>
    <x:t>동탄제일병원</x:t>
  </x:si>
  <x:si>
    <x:t>보라매병원</x:t>
  </x:si>
  <x:si>
    <x:t>A39 A5</x:t>
  </x:si>
  <x:si>
    <x:t>원주시보건소</x:t>
  </x:si>
  <x:si>
    <x:t>경희의료원</x:t>
  </x:si>
  <x:si>
    <x:t xml:space="preserve">B41 </x:t>
  </x:si>
  <x:si>
    <x:t>중앙보훈병원</x:t>
  </x:si>
  <x:si>
    <x:t>횡성군보건소</x:t>
  </x:si>
  <x:si>
    <x:t>A34 A8</x:t>
  </x:si>
  <x:si>
    <x:t>B38 B39</x:t>
  </x:si>
  <x:si>
    <x:t xml:space="preserve">B36 </x:t>
  </x:si>
  <x:si>
    <x:t>원주의료원</x:t>
  </x:si>
  <x:si>
    <x:t>A31 A44</x:t>
  </x:si>
  <x:si>
    <x:t>B4 B48</x:t>
  </x:si>
  <x:si>
    <x:t>B18 B7</x:t>
  </x:si>
  <x:si>
    <x:t>B10 B33</x:t>
  </x:si>
  <x:si>
    <x:t>B44 B8</x:t>
  </x:si>
  <x:si>
    <x:t>A27 A28</x:t>
  </x:si>
  <x:si>
    <x:t>B13 B40</x:t>
  </x:si>
  <x:si>
    <x:t xml:space="preserve">       </x:t>
  </x:si>
  <x:si>
    <x:t>A4 A9</x:t>
  </x:si>
  <x:si>
    <x:t>A37 A41</x:t>
  </x:si>
  <x:si>
    <x:t xml:space="preserve">     </x:t>
  </x:si>
  <x:si>
    <x:t>A19 A34</x:t>
  </x:si>
  <x:si>
    <x:t xml:space="preserve">    </x:t>
  </x:si>
  <x:si>
    <x:t>A18 A6</x:t>
  </x:si>
  <x:si>
    <x:t>B18 B21</x:t>
  </x:si>
  <x:si>
    <x:t>B34 B50</x:t>
  </x:si>
  <x:si>
    <x:t>B24 B45</x:t>
  </x:si>
  <x:si>
    <x:t>B11 B13 B45 B5</x:t>
  </x:si>
  <x:si>
    <x:t>A20 A21 A40 B20</x:t>
  </x:si>
  <x:si>
    <x:t>B31 B37 B41 B46</x:t>
  </x:si>
  <x:si>
    <x:t xml:space="preserve">A11 A21 A22 </x:t>
  </x:si>
  <x:si>
    <x:t xml:space="preserve">B1 B11 B13 B15 </x:t>
  </x:si>
  <x:si>
    <x:t>A37 A38 A41 A42</x:t>
  </x:si>
  <x:si>
    <x:t>B32 B35 B36 B42</x:t>
  </x:si>
  <x:si>
    <x:t>서울시립동대문실버케어센터</x:t>
  </x:si>
  <x:si>
    <x:t>A15 A16 A30 A33</x:t>
  </x:si>
  <x:si>
    <x:t>A1 A26 A29 A32</x:t>
  </x:si>
  <x:si>
    <x:t>A1 A13 B39 B47</x:t>
  </x:si>
  <x:si>
    <x:t>A2 A26 B3 B5</x:t>
  </x:si>
  <x:si>
    <x:t>A11 A2 A31 A38</x:t>
  </x:si>
  <x:si>
    <x:t>B1 B11 B2 B41</x:t>
  </x:si>
  <x:si>
    <x:t>A39 A5 A6 A7</x:t>
  </x:si>
  <x:si>
    <x:t>A33 A35 A40 A8</x:t>
  </x:si>
  <x:si>
    <x:t>A20 A28 A30 A9</x:t>
  </x:si>
  <x:si>
    <x:t>A23 A25 A27 A28</x:t>
  </x:si>
  <x:si>
    <x:t>경희의료원(소아청소년과)</x:t>
  </x:si>
  <x:si>
    <x:t xml:space="preserve">A10 A12 A14 </x:t>
  </x:si>
  <x:si>
    <x:t>B23 B27 B43 B6</x:t>
  </x:si>
  <x:si>
    <x:t>B14 B4 B47 B50</x:t>
  </x:si>
  <x:si>
    <x:t>A16 A17 A4 A8</x:t>
  </x:si>
  <x:si>
    <x:t>원주세브란스기독병원(분만실)</x:t>
  </x:si>
  <x:si>
    <x:t xml:space="preserve">B14 B2 B21 B22 </x:t>
  </x:si>
  <x:si>
    <x:t>A10 A15 A24 A3</x:t>
  </x:si>
  <x:si>
    <x:t>B15 B28 B8 B9</x:t>
  </x:si>
  <x:si>
    <x:t>B14 B15 B46 B49</x:t>
  </x:si>
  <x:si>
    <x:t>A35 A36 A40 A43</x:t>
  </x:si>
  <x:si>
    <x:t>A13 A2 A3 A35 A36 A40 A43</x:t>
  </x:si>
  <x:si>
    <x:t>A11 A21 A22 A23 A25 A27 A28</x:t>
  </x:si>
  <x:si>
    <x:t>B16 B28 B31 B35 B42 B50</x:t>
  </x:si>
  <x:si>
    <x:t>A14 A36 A43 A44 B36 B48</x:t>
  </x:si>
  <x:si>
    <x:t>B32 B33 B35 B36 B48 B7</x:t>
  </x:si>
  <x:si>
    <x:t>A21 A22 A23 A3 A42 A43</x:t>
  </x:si>
  <x:si>
    <x:t>B30 B31 B34 B37 B40 B42</x:t>
  </x:si>
  <x:si>
    <x:t>A12 A13 A14 A34 A37 A4</x:t>
  </x:si>
  <x:si>
    <x:t>A1 A15 A18 A26 A29 A32</x:t>
  </x:si>
  <x:si>
    <x:t>A11 A23 A38 A7 B34 B38</x:t>
  </x:si>
  <x:si>
    <x:t>B17 B21 B24 B25 B39 B41</x:t>
  </x:si>
  <x:si>
    <x:t>A22 A32 A39 A9 B37 B4</x:t>
  </x:si>
  <x:si>
    <x:t>B10 B2 B22 B27 B3 B6</x:t>
  </x:si>
  <x:si>
    <x:t>B12 B29 B38 B43 B44 B49</x:t>
  </x:si>
  <x:si>
    <x:t>B27 B3 B45 B47 B5 B6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</x:si>
</x:sst>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맑은 고딕"/>
      <x:sz val="11"/>
      <x:color rgb="ffff0000"/>
    </x:font>
  </x:fonts>
  <x:fills count="2">
    <x:fill>
      <x:patternFill patternType="none"/>
    </x:fill>
    <x:fill>
      <x:patternFill patternType="gray125"/>
    </x:fill>
  </x:fills>
  <x:borders count="1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medium">
        <x:color indexed="64"/>
      </x:left>
      <x:right>
        <x:color indexed="64"/>
      </x:right>
      <x:top style="medium"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medium"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  <x:diagonal>
        <x:color indexed="64"/>
      </x:diagonal>
    </x:border>
    <x:border diagonalUp="1" diagonalDown="1">
      <x:left style="medium"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medium"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medium">
        <x:color indexed="64"/>
      </x:left>
      <x:right>
        <x:color indexed="64"/>
      </x:right>
      <x:top>
        <x:color indexed="64"/>
      </x:top>
      <x:bottom style="medium"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medium">
        <x:color indexed="64"/>
      </x:bottom>
      <x:diagonal>
        <x:color indexed="64"/>
      </x:diagonal>
    </x:border>
    <x:border diagonalUp="1" diagonalDown="1"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  <x:diagonal>
        <x:color indexed="64"/>
      </x:diagonal>
    </x:border>
  </x:borders>
  <x:cellStyleXfs count="20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9" fontId="6" fillId="0" borderId="0" applyFont="1" applyFill="1" applyBorder="1" applyAlignment="1" applyProtection="1">
      <x:alignment horizontal="general" vertical="center"/>
    </x:xf>
    <x:xf numFmtId="43" fontId="6" fillId="0" borderId="0" applyFont="1" applyFill="1" applyBorder="1" applyAlignment="1" applyProtection="1">
      <x:alignment horizontal="general" vertical="center"/>
    </x:xf>
    <x:xf numFmtId="41" fontId="6" fillId="0" borderId="0" applyFont="1" applyFill="1" applyBorder="1" applyAlignment="1" applyProtection="1">
      <x:alignment horizontal="general" vertical="center"/>
    </x:xf>
    <x:xf numFmtId="44" fontId="6" fillId="0" borderId="0" applyFont="1" applyFill="1" applyBorder="1" applyAlignment="1" applyProtection="1">
      <x:alignment horizontal="general" vertical="center"/>
    </x:xf>
    <x:xf numFmtId="42" fontId="6" fillId="0" borderId="0" applyFont="1" applyFill="1" applyBorder="1" applyAlignment="1" applyProtection="1">
      <x:alignment horizontal="general" vertical="center"/>
    </x:xf>
  </x:cellStyleXfs>
  <x:cellXfs count="20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bottom"/>
        </x:xf>
      </mc:Fallback>
    </mc:AlternateContent>
    <x:xf numFmtId="0" fontId="0" fillId="0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2" xfId="0" applyBorder="1">
      <x:alignment horizontal="general" vertical="bottom"/>
    </x:xf>
    <x:xf numFmtId="0" fontId="0" fillId="0" borderId="3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17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3.5390625" bestFit="1" customWidth="1"/>
    <x:col min="2" max="2" width="25.81640625" bestFit="1" customWidth="1"/>
    <x:col min="3" max="3" width="23.7890625" bestFit="1" customWidth="1"/>
    <x:col min="4" max="4" width="22.78125" bestFit="1" customWidth="1"/>
    <x:col min="5" max="5" width="21.765625" bestFit="1" customWidth="1"/>
    <x:col min="6" max="6" width="23.28515625" bestFit="1" customWidth="1"/>
    <x:col min="7" max="7" width="29.86328125" bestFit="1" customWidth="1"/>
    <x:col min="8" max="8" width="58.21875" bestFit="1" customWidth="1"/>
    <x:col min="9" max="9" width="42.015625" bestFit="1" customWidth="1"/>
    <x:col min="10" max="10" width="31.890625" bestFit="1" customWidth="1"/>
    <x:col min="11" max="11" width="25.9453125" bestFit="1" customWidth="1"/>
    <x:col min="12" max="12" width="27.96484375" bestFit="1" customWidth="1"/>
  </x:cols>
  <x:sheetData>
    <x:row r="1" spans="1:12">
      <x:c r="A1" t="s">
        <x:v>4</x:v>
      </x:c>
      <x:c r="B1" t="s">
        <x:v>6</x:v>
      </x:c>
      <x:c r="C1" t="s">
        <x:v>19</x:v>
      </x:c>
      <x:c r="D1" t="s">
        <x:v>9</x:v>
      </x:c>
      <x:c r="E1" t="s">
        <x:v>2</x:v>
      </x:c>
      <x:c r="F1" t="s">
        <x:v>17</x:v>
      </x:c>
      <x:c r="G1" t="s">
        <x:v>14</x:v>
      </x:c>
      <x:c r="H1" t="s">
        <x:v>3</x:v>
      </x:c>
      <x:c r="I1" t="s">
        <x:v>1</x:v>
      </x:c>
      <x:c r="J1" t="s">
        <x:v>7</x:v>
      </x:c>
      <x:c r="K1" t="s">
        <x:v>18</x:v>
      </x:c>
      <x:c r="L1" t="s">
        <x:v>13</x:v>
      </x:c>
    </x:row>
    <x:row r="2" spans="1:9">
      <x:c r="A2" t="s">
        <x:v>59</x:v>
      </x:c>
      <x:c r="B2" t="s">
        <x:v>32</x:v>
      </x:c>
      <x:c r="G2" t="s">
        <x:v>52</x:v>
      </x:c>
      <x:c r="H2" t="s">
        <x:v>92</x:v>
      </x:c>
      <x:c r="I2" t="s">
        <x:v>96</x:v>
      </x:c>
    </x:row>
    <x:row r="3" spans="1:9">
      <x:c r="A3" t="s">
        <x:v>59</x:v>
      </x:c>
      <x:c r="B3" t="s">
        <x:v>65</x:v>
      </x:c>
      <x:c r="H3" t="s">
        <x:v>45</x:v>
      </x:c>
      <x:c r="I3" t="s">
        <x:v>44</x:v>
      </x:c>
    </x:row>
    <x:row r="4" spans="1:12">
      <x:c r="A4" t="s">
        <x:v>59</x:v>
      </x:c>
      <x:c r="B4" t="s">
        <x:v>61</x:v>
      </x:c>
      <x:c r="J4" t="s">
        <x:v>55</x:v>
      </x:c>
      <x:c r="K4" t="s">
        <x:v>119</x:v>
      </x:c>
      <x:c r="L4" t="s">
        <x:v>120</x:v>
      </x:c>
    </x:row>
    <x:row r="5" spans="1:12">
      <x:c r="A5" t="s">
        <x:v>59</x:v>
      </x:c>
      <x:c r="B5" t="s">
        <x:v>72</x:v>
      </x:c>
      <x:c r="J5" t="s">
        <x:v>98</x:v>
      </x:c>
      <x:c r="K5" t="s">
        <x:v>95</x:v>
      </x:c>
      <x:c r="L5" t="s">
        <x:v>99</x:v>
      </x:c>
    </x:row>
    <x:row r="6" spans="1:11">
      <x:c r="A6" t="s">
        <x:v>59</x:v>
      </x:c>
      <x:c r="B6" t="s">
        <x:v>60</x:v>
      </x:c>
      <x:c r="J6" t="s">
        <x:v>69</x:v>
      </x:c>
      <x:c r="K6" t="s">
        <x:v>63</x:v>
      </x:c>
    </x:row>
    <x:row r="7" spans="1:12">
      <x:c r="A7" t="s">
        <x:v>59</x:v>
      </x:c>
      <x:c r="B7" t="s">
        <x:v>62</x:v>
      </x:c>
      <x:c r="G7" t="s">
        <x:v>75</x:v>
      </x:c>
      <x:c r="H7" t="s">
        <x:v>70</x:v>
      </x:c>
      <x:c r="I7" t="s">
        <x:v>88</x:v>
      </x:c>
      <x:c r="J7" t="s">
        <x:v>81</x:v>
      </x:c>
      <x:c r="K7" t="s">
        <x:v>57</x:v>
      </x:c>
      <x:c r="L7" t="s">
        <x:v>73</x:v>
      </x:c>
    </x:row>
    <x:row r="8" spans="1:9">
      <x:c r="A8" t="s">
        <x:v>8</x:v>
      </x:c>
      <x:c r="B8" t="s">
        <x:v>64</x:v>
      </x:c>
      <x:c r="G8" t="s">
        <x:v>129</x:v>
      </x:c>
      <x:c r="H8" t="s">
        <x:v>131</x:v>
      </x:c>
      <x:c r="I8" t="s">
        <x:v>54</x:v>
      </x:c>
    </x:row>
    <x:row r="9" spans="1:12">
      <x:c r="A9" t="s">
        <x:v>8</x:v>
      </x:c>
      <x:c r="B9" t="s">
        <x:v>31</x:v>
      </x:c>
      <x:c r="J9" t="s">
        <x:v>102</x:v>
      </x:c>
      <x:c r="K9" t="s">
        <x:v>48</x:v>
      </x:c>
      <x:c r="L9" t="s">
        <x:v>47</x:v>
      </x:c>
    </x:row>
    <x:row r="10" spans="1:12">
      <x:c r="A10" t="s">
        <x:v>8</x:v>
      </x:c>
      <x:c r="B10" t="s">
        <x:v>68</x:v>
      </x:c>
      <x:c r="G10" t="s">
        <x:v>125</x:v>
      </x:c>
      <x:c r="H10" t="s">
        <x:v>123</x:v>
      </x:c>
      <x:c r="I10" t="s">
        <x:v>132</x:v>
      </x:c>
      <x:c r="J10" t="s">
        <x:v>124</x:v>
      </x:c>
      <x:c r="K10" t="s">
        <x:v>127</x:v>
      </x:c>
      <x:c r="L10" t="s">
        <x:v>126</x:v>
      </x:c>
    </x:row>
    <x:row r="11" spans="1:12">
      <x:c r="A11" t="s">
        <x:v>8</x:v>
      </x:c>
      <x:c r="B11" t="s">
        <x:v>97</x:v>
      </x:c>
      <x:c r="G11" t="s">
        <x:v>90</x:v>
      </x:c>
      <x:c r="H11" t="s">
        <x:v>111</x:v>
      </x:c>
      <x:c r="I11" t="s">
        <x:v>116</x:v>
      </x:c>
      <x:c r="J11" t="s">
        <x:v>104</x:v>
      </x:c>
      <x:c r="K11" t="s">
        <x:v>106</x:v>
      </x:c>
      <x:c r="L11" t="s">
        <x:v>105</x:v>
      </x:c>
    </x:row>
    <x:row r="12" spans="1:12">
      <x:c r="A12" t="s">
        <x:v>10</x:v>
      </x:c>
      <x:c r="B12" t="s">
        <x:v>29</x:v>
      </x:c>
      <x:c r="G12" t="s">
        <x:v>56</x:v>
      </x:c>
      <x:c r="H12" t="s">
        <x:v>89</x:v>
      </x:c>
      <x:c r="I12" t="s">
        <x:v>76</x:v>
      </x:c>
      <x:c r="J12" t="s">
        <x:v>82</x:v>
      </x:c>
      <x:c r="K12" t="s">
        <x:v>84</x:v>
      </x:c>
      <x:c r="L12" t="s">
        <x:v>86</x:v>
      </x:c>
    </x:row>
    <x:row r="13" spans="1:12">
      <x:c r="A13" t="s">
        <x:v>10</x:v>
      </x:c>
      <x:c r="B13" t="s">
        <x:v>32</x:v>
      </x:c>
      <x:c r="G13" t="s">
        <x:v>77</x:v>
      </x:c>
      <x:c r="H13" t="s">
        <x:v>87</x:v>
      </x:c>
      <x:c r="I13" t="s">
        <x:v>79</x:v>
      </x:c>
      <x:c r="J13" t="s">
        <x:v>78</x:v>
      </x:c>
      <x:c r="K13" t="s">
        <x:v>112</x:v>
      </x:c>
      <x:c r="L13" t="s">
        <x:v>115</x:v>
      </x:c>
    </x:row>
    <x:row r="14" spans="1:12">
      <x:c r="A14" t="s">
        <x:v>10</x:v>
      </x:c>
      <x:c r="B14" t="s">
        <x:v>67</x:v>
      </x:c>
      <x:c r="G14" t="s">
        <x:v>40</x:v>
      </x:c>
      <x:c r="H14" t="s">
        <x:v>37</x:v>
      </x:c>
      <x:c r="I14" t="s">
        <x:v>35</x:v>
      </x:c>
      <x:c r="J14" t="s">
        <x:v>39</x:v>
      </x:c>
      <x:c r="K14" t="s">
        <x:v>34</x:v>
      </x:c>
      <x:c r="L14" t="s">
        <x:v>38</x:v>
      </x:c>
    </x:row>
    <x:row r="15" spans="1:5">
      <x:c r="A15" t="s">
        <x:v>10</x:v>
      </x:c>
      <x:c r="B15" t="s">
        <x:v>30</x:v>
      </x:c>
      <x:c r="C15" t="s">
        <x:v>100</x:v>
      </x:c>
      <x:c r="D15" t="s">
        <x:v>101</x:v>
      </x:c>
      <x:c r="E15" t="s">
        <x:v>91</x:v>
      </x:c>
    </x:row>
    <x:row r="16" spans="1:6">
      <x:c r="A16" t="s">
        <x:v>10</x:v>
      </x:c>
      <x:c r="B16" t="s">
        <x:v>65</x:v>
      </x:c>
      <x:c r="C16" t="s">
        <x:v>122</x:v>
      </x:c>
      <x:c r="D16" t="s">
        <x:v>128</x:v>
      </x:c>
      <x:c r="E16" t="s">
        <x:v>130</x:v>
      </x:c>
      <x:c r="F16" t="s">
        <x:v>121</x:v>
      </x:c>
    </x:row>
    <x:row r="17" spans="1:5">
      <x:c r="A17" t="s">
        <x:v>10</x:v>
      </x:c>
      <x:c r="B17" t="s">
        <x:v>58</x:v>
      </x:c>
      <x:c r="C17" t="s">
        <x:v>117</x:v>
      </x:c>
      <x:c r="D17" t="s">
        <x:v>110</x:v>
      </x:c>
      <x:c r="E17" t="s">
        <x:v>103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M22"/>
  <x:sheetViews>
    <x:sheetView topLeftCell="A1" zoomScaleNormal="100" zoomScaleSheetLayoutView="75" workbookViewId="0">
      <x:pane xSplit="3" ySplit="0" topLeftCell="D1" activePane="topRight" state="frozen"/>
      <x:selection pane="topRight" activeCell="D20" activeCellId="0" sqref="D20:D20"/>
    </x:sheetView>
  </x:sheetViews>
  <x:sheetFormatPr defaultColWidth="9.00390625" defaultRowHeight="16.399999999999999"/>
  <x:cols>
    <x:col min="1" max="1" width="13.5390625" bestFit="1" customWidth="1"/>
    <x:col min="2" max="2" width="4.93359375" bestFit="1" customWidth="1"/>
    <x:col min="3" max="3" width="27.2109375" bestFit="1" customWidth="1"/>
    <x:col min="4" max="4" width="23.7890625" bestFit="1" customWidth="1"/>
    <x:col min="5" max="5" width="22.78125" bestFit="1" customWidth="1"/>
    <x:col min="6" max="6" width="21.765625" bestFit="1" customWidth="1"/>
    <x:col min="7" max="8" width="23.28515625" bestFit="1" customWidth="1"/>
    <x:col min="9" max="9" width="28.8515625" bestFit="1" customWidth="1"/>
    <x:col min="10" max="10" width="29.86328125" bestFit="1" customWidth="1"/>
    <x:col min="11" max="13" width="23.03125" bestFit="1" customWidth="1"/>
  </x:cols>
  <x:sheetData>
    <x:row r="1" spans="1:13">
      <x:c r="A1" s="7" t="s">
        <x:v>4</x:v>
      </x:c>
      <x:c r="B1" s="7"/>
      <x:c r="C1" s="1" t="s">
        <x:v>6</x:v>
      </x:c>
      <x:c r="D1" s="1" t="s">
        <x:v>19</x:v>
      </x:c>
      <x:c r="E1" s="1" t="s">
        <x:v>9</x:v>
      </x:c>
      <x:c r="F1" s="1" t="s">
        <x:v>2</x:v>
      </x:c>
      <x:c r="G1" s="1" t="s">
        <x:v>17</x:v>
      </x:c>
      <x:c r="H1" s="1" t="s">
        <x:v>14</x:v>
      </x:c>
      <x:c r="I1" s="1" t="s">
        <x:v>3</x:v>
      </x:c>
      <x:c r="J1" s="1" t="s">
        <x:v>1</x:v>
      </x:c>
      <x:c r="K1" s="1" t="s">
        <x:v>7</x:v>
      </x:c>
      <x:c r="L1" s="1" t="s">
        <x:v>18</x:v>
      </x:c>
      <x:c r="M1" s="1" t="s">
        <x:v>13</x:v>
      </x:c>
    </x:row>
    <x:row r="2" spans="1:13">
      <x:c r="A2" s="7" t="s">
        <x:v>59</x:v>
      </x:c>
      <x:c r="B2" s="7" t="s">
        <x:v>12</x:v>
      </x:c>
      <x:c r="C2" s="2" t="s">
        <x:v>32</x:v>
      </x:c>
      <x:c r="D2" s="2"/>
      <x:c r="E2" s="2"/>
      <x:c r="F2" s="2"/>
      <x:c r="G2" s="2"/>
      <x:c r="H2" s="2" t="s">
        <x:v>46</x:v>
      </x:c>
      <x:c r="I2" s="2" t="s">
        <x:v>41</x:v>
      </x:c>
      <x:c r="J2" s="2" t="s">
        <x:v>43</x:v>
      </x:c>
      <x:c r="K2" s="2"/>
      <x:c r="L2" s="2"/>
      <x:c r="M2" s="2"/>
    </x:row>
    <x:row r="3" spans="1:13">
      <x:c r="A3" s="7"/>
      <x:c r="B3" s="7"/>
      <x:c r="C3" s="2" t="s">
        <x:v>33</x:v>
      </x:c>
      <x:c r="D3" s="2"/>
      <x:c r="E3" s="2"/>
      <x:c r="F3" s="2"/>
      <x:c r="G3" s="2"/>
      <x:c r="H3" s="2"/>
      <x:c r="I3" s="2" t="s">
        <x:v>94</x:v>
      </x:c>
      <x:c r="J3" s="2" t="s">
        <x:v>114</x:v>
      </x:c>
      <x:c r="K3" s="2"/>
      <x:c r="L3" s="2"/>
      <x:c r="M3" s="2"/>
    </x:row>
    <x:row r="4" spans="1:13">
      <x:c r="A4" s="7"/>
      <x:c r="B4" s="7"/>
      <x:c r="C4" s="2" t="s">
        <x:v>108</x:v>
      </x:c>
      <x:c r="D4" s="2"/>
      <x:c r="E4" s="2"/>
      <x:c r="F4" s="2"/>
      <x:c r="G4" s="2"/>
      <x:c r="H4" s="2"/>
      <x:c r="I4" s="2" t="s">
        <x:v>49</x:v>
      </x:c>
      <x:c r="J4" s="2" t="s">
        <x:v>36</x:v>
      </x:c>
      <x:c r="K4" s="2"/>
      <x:c r="L4" s="2"/>
      <x:c r="M4" s="2"/>
    </x:row>
    <x:row r="5" spans="1:13">
      <x:c r="A5" s="7"/>
      <x:c r="B5" s="7"/>
      <x:c r="C5" s="2" t="s">
        <x:v>61</x:v>
      </x:c>
      <x:c r="D5" s="2"/>
      <x:c r="E5" s="2"/>
      <x:c r="F5" s="2"/>
      <x:c r="G5" s="2"/>
      <x:c r="H5" s="2"/>
      <x:c r="I5" s="2"/>
      <x:c r="J5" s="2"/>
      <x:c r="K5" s="2" t="s">
        <x:v>109</x:v>
      </x:c>
      <x:c r="L5" s="2" t="s">
        <x:v>42</x:v>
      </x:c>
      <x:c r="M5" s="2" t="s">
        <x:v>93</x:v>
      </x:c>
    </x:row>
    <x:row r="6" spans="1:13">
      <x:c r="A6" s="7"/>
      <x:c r="B6" s="7"/>
      <x:c r="C6" s="2" t="s">
        <x:v>72</x:v>
      </x:c>
      <x:c r="D6" s="2"/>
      <x:c r="E6" s="2"/>
      <x:c r="F6" s="2"/>
      <x:c r="G6" s="2"/>
      <x:c r="H6" s="2"/>
      <x:c r="I6" s="2"/>
      <x:c r="J6" s="2"/>
      <x:c r="K6" s="2" t="s">
        <x:v>98</x:v>
      </x:c>
      <x:c r="L6" s="2" t="s">
        <x:v>95</x:v>
      </x:c>
      <x:c r="M6" s="2" t="s">
        <x:v>99</x:v>
      </x:c>
    </x:row>
    <x:row r="7" spans="1:13">
      <x:c r="A7" s="7"/>
      <x:c r="B7" s="7" t="s">
        <x:v>21</x:v>
      </x:c>
      <x:c r="C7" s="2" t="s">
        <x:v>113</x:v>
      </x:c>
      <x:c r="D7" s="2"/>
      <x:c r="E7" s="2"/>
      <x:c r="F7" s="2"/>
      <x:c r="G7" s="2"/>
      <x:c r="H7" s="2" t="s">
        <x:v>28</x:v>
      </x:c>
      <x:c r="I7" s="2" t="s">
        <x:v>66</x:v>
      </x:c>
      <x:c r="J7" s="2" t="s">
        <x:v>71</x:v>
      </x:c>
      <x:c r="K7" s="2"/>
      <x:c r="L7" s="2"/>
      <x:c r="M7" s="2"/>
    </x:row>
    <x:row r="8" spans="1:13">
      <x:c r="A8" s="7"/>
      <x:c r="B8" s="7"/>
      <x:c r="C8" s="2" t="s">
        <x:v>51</x:v>
      </x:c>
      <x:c r="D8" s="2"/>
      <x:c r="E8" s="2"/>
      <x:c r="F8" s="2"/>
      <x:c r="G8" s="2"/>
      <x:c r="H8" s="2" t="s">
        <x:v>74</x:v>
      </x:c>
      <x:c r="I8" s="2" t="s">
        <x:v>15</x:v>
      </x:c>
      <x:c r="J8" s="2" t="s">
        <x:v>22</x:v>
      </x:c>
      <x:c r="K8" s="2"/>
      <x:c r="L8" s="2"/>
      <x:c r="M8" s="2"/>
    </x:row>
    <x:row r="9" spans="1:13">
      <x:c r="A9" s="7"/>
      <x:c r="B9" s="7"/>
      <x:c r="C9" s="2" t="s">
        <x:v>65</x:v>
      </x:c>
      <x:c r="D9" s="2"/>
      <x:c r="E9" s="2"/>
      <x:c r="F9" s="2"/>
      <x:c r="G9" s="2"/>
      <x:c r="H9" s="2"/>
      <x:c r="I9" s="2" t="s">
        <x:v>53</x:v>
      </x:c>
      <x:c r="J9" s="2" t="s">
        <x:v>133</x:v>
      </x:c>
      <x:c r="K9" s="2"/>
      <x:c r="L9" s="2"/>
      <x:c r="M9" s="2"/>
    </x:row>
    <x:row r="10" spans="1:13">
      <x:c r="A10" s="7"/>
      <x:c r="B10" s="7"/>
      <x:c r="C10" s="2" t="s">
        <x:v>60</x:v>
      </x:c>
      <x:c r="D10" s="2"/>
      <x:c r="E10" s="2"/>
      <x:c r="F10" s="2"/>
      <x:c r="G10" s="2"/>
      <x:c r="H10" s="2"/>
      <x:c r="I10" s="2"/>
      <x:c r="J10" s="2"/>
      <x:c r="K10" s="2" t="s">
        <x:v>69</x:v>
      </x:c>
      <x:c r="L10" s="2" t="s">
        <x:v>63</x:v>
      </x:c>
      <x:c r="M10" s="2"/>
    </x:row>
    <x:row r="11" spans="1:13">
      <x:c r="A11" s="7"/>
      <x:c r="B11" s="7"/>
      <x:c r="C11" s="2" t="s">
        <x:v>62</x:v>
      </x:c>
      <x:c r="D11" s="2"/>
      <x:c r="E11" s="2"/>
      <x:c r="F11" s="2"/>
      <x:c r="G11" s="2"/>
      <x:c r="H11" s="2" t="s">
        <x:v>75</x:v>
      </x:c>
      <x:c r="I11" s="2" t="s">
        <x:v>70</x:v>
      </x:c>
      <x:c r="J11" s="2" t="s">
        <x:v>88</x:v>
      </x:c>
      <x:c r="K11" s="2" t="s">
        <x:v>81</x:v>
      </x:c>
      <x:c r="L11" s="2" t="s">
        <x:v>57</x:v>
      </x:c>
      <x:c r="M11" s="2" t="s">
        <x:v>73</x:v>
      </x:c>
    </x:row>
    <x:row r="12" spans="1:13">
      <x:c r="A12" s="7"/>
      <x:c r="B12" s="7"/>
      <x:c r="C12" s="2" t="s">
        <x:v>61</x:v>
      </x:c>
      <x:c r="D12" s="2"/>
      <x:c r="E12" s="2"/>
      <x:c r="F12" s="2"/>
      <x:c r="G12" s="2"/>
      <x:c r="H12" s="2"/>
      <x:c r="I12" s="2"/>
      <x:c r="J12" s="2"/>
      <x:c r="K12" s="2" t="s">
        <x:v>50</x:v>
      </x:c>
      <x:c r="L12" s="2" t="s">
        <x:v>118</x:v>
      </x:c>
      <x:c r="M12" s="2" t="s">
        <x:v>107</x:v>
      </x:c>
    </x:row>
    <x:row r="13" spans="1:13">
      <x:c r="A13" s="7" t="s">
        <x:v>8</x:v>
      </x:c>
      <x:c r="B13" s="7"/>
      <x:c r="C13" s="2" t="s">
        <x:v>64</x:v>
      </x:c>
      <x:c r="D13" s="2"/>
      <x:c r="E13" s="2"/>
      <x:c r="F13" s="2"/>
      <x:c r="G13" s="2"/>
      <x:c r="H13" s="2" t="s">
        <x:v>129</x:v>
      </x:c>
      <x:c r="I13" s="2" t="s">
        <x:v>131</x:v>
      </x:c>
      <x:c r="J13" s="2" t="s">
        <x:v>54</x:v>
      </x:c>
      <x:c r="K13" s="2"/>
      <x:c r="L13" s="2"/>
      <x:c r="M13" s="2"/>
    </x:row>
    <x:row r="14" spans="1:13">
      <x:c r="A14" s="7"/>
      <x:c r="B14" s="7"/>
      <x:c r="C14" s="2" t="s">
        <x:v>31</x:v>
      </x:c>
      <x:c r="D14" s="2"/>
      <x:c r="E14" s="2"/>
      <x:c r="F14" s="2"/>
      <x:c r="G14" s="2"/>
      <x:c r="H14" s="2"/>
      <x:c r="I14" s="2"/>
      <x:c r="J14" s="2"/>
      <x:c r="K14" s="2" t="s">
        <x:v>102</x:v>
      </x:c>
      <x:c r="L14" s="2" t="s">
        <x:v>48</x:v>
      </x:c>
      <x:c r="M14" s="2" t="s">
        <x:v>47</x:v>
      </x:c>
    </x:row>
    <x:row r="15" spans="1:13">
      <x:c r="A15" s="7"/>
      <x:c r="B15" s="7"/>
      <x:c r="C15" s="2" t="s">
        <x:v>68</x:v>
      </x:c>
      <x:c r="D15" s="2"/>
      <x:c r="E15" s="2"/>
      <x:c r="F15" s="2"/>
      <x:c r="G15" s="2"/>
      <x:c r="H15" s="2" t="s">
        <x:v>125</x:v>
      </x:c>
      <x:c r="I15" s="2" t="s">
        <x:v>123</x:v>
      </x:c>
      <x:c r="J15" s="2" t="s">
        <x:v>132</x:v>
      </x:c>
      <x:c r="K15" s="2" t="s">
        <x:v>124</x:v>
      </x:c>
      <x:c r="L15" s="2" t="s">
        <x:v>127</x:v>
      </x:c>
      <x:c r="M15" s="2" t="s">
        <x:v>126</x:v>
      </x:c>
    </x:row>
    <x:row r="16" spans="1:13">
      <x:c r="A16" s="7"/>
      <x:c r="B16" s="7"/>
      <x:c r="C16" s="2" t="s">
        <x:v>97</x:v>
      </x:c>
      <x:c r="D16" s="2"/>
      <x:c r="E16" s="2"/>
      <x:c r="F16" s="2"/>
      <x:c r="G16" s="2"/>
      <x:c r="H16" s="2" t="s">
        <x:v>90</x:v>
      </x:c>
      <x:c r="I16" s="2" t="s">
        <x:v>111</x:v>
      </x:c>
      <x:c r="J16" s="2" t="s">
        <x:v>116</x:v>
      </x:c>
      <x:c r="K16" s="2" t="s">
        <x:v>104</x:v>
      </x:c>
      <x:c r="L16" s="2" t="s">
        <x:v>106</x:v>
      </x:c>
      <x:c r="M16" s="2" t="s">
        <x:v>105</x:v>
      </x:c>
    </x:row>
    <x:row r="17" spans="1:13">
      <x:c r="A17" s="7" t="s">
        <x:v>10</x:v>
      </x:c>
      <x:c r="B17" s="7"/>
      <x:c r="C17" s="2" t="s">
        <x:v>29</x:v>
      </x:c>
      <x:c r="D17" s="2"/>
      <x:c r="E17" s="2"/>
      <x:c r="F17" s="2"/>
      <x:c r="G17" s="2"/>
      <x:c r="H17" s="2" t="s">
        <x:v>56</x:v>
      </x:c>
      <x:c r="I17" s="2" t="s">
        <x:v>89</x:v>
      </x:c>
      <x:c r="J17" s="2" t="s">
        <x:v>76</x:v>
      </x:c>
      <x:c r="K17" s="2" t="s">
        <x:v>82</x:v>
      </x:c>
      <x:c r="L17" s="2" t="s">
        <x:v>84</x:v>
      </x:c>
      <x:c r="M17" s="2" t="s">
        <x:v>86</x:v>
      </x:c>
    </x:row>
    <x:row r="18" spans="1:13">
      <x:c r="A18" s="7"/>
      <x:c r="B18" s="7"/>
      <x:c r="C18" s="2" t="s">
        <x:v>32</x:v>
      </x:c>
      <x:c r="D18" s="2"/>
      <x:c r="E18" s="2"/>
      <x:c r="F18" s="2"/>
      <x:c r="G18" s="2"/>
      <x:c r="H18" s="2" t="s">
        <x:v>77</x:v>
      </x:c>
      <x:c r="I18" s="2" t="s">
        <x:v>87</x:v>
      </x:c>
      <x:c r="J18" s="2" t="s">
        <x:v>79</x:v>
      </x:c>
      <x:c r="K18" s="2" t="s">
        <x:v>78</x:v>
      </x:c>
      <x:c r="L18" s="2" t="s">
        <x:v>112</x:v>
      </x:c>
      <x:c r="M18" s="2" t="s">
        <x:v>115</x:v>
      </x:c>
    </x:row>
    <x:row r="19" spans="1:13">
      <x:c r="A19" s="7"/>
      <x:c r="B19" s="7"/>
      <x:c r="C19" s="2" t="s">
        <x:v>67</x:v>
      </x:c>
      <x:c r="D19" s="2"/>
      <x:c r="E19" s="2"/>
      <x:c r="F19" s="2"/>
      <x:c r="G19" s="2"/>
      <x:c r="H19" s="2" t="s">
        <x:v>40</x:v>
      </x:c>
      <x:c r="I19" s="2" t="s">
        <x:v>37</x:v>
      </x:c>
      <x:c r="J19" s="2" t="s">
        <x:v>35</x:v>
      </x:c>
      <x:c r="K19" s="2" t="s">
        <x:v>39</x:v>
      </x:c>
      <x:c r="L19" s="2" t="s">
        <x:v>34</x:v>
      </x:c>
      <x:c r="M19" s="2" t="s">
        <x:v>38</x:v>
      </x:c>
    </x:row>
    <x:row r="20" spans="1:13">
      <x:c r="A20" s="7"/>
      <x:c r="B20" s="7"/>
      <x:c r="C20" s="2" t="s">
        <x:v>30</x:v>
      </x:c>
      <x:c r="D20" s="2" t="s">
        <x:v>100</x:v>
      </x:c>
      <x:c r="E20" s="2" t="s">
        <x:v>101</x:v>
      </x:c>
      <x:c r="F20" s="2" t="s">
        <x:v>91</x:v>
      </x:c>
      <x:c r="G20" s="2"/>
      <x:c r="H20" s="2"/>
      <x:c r="I20" s="2"/>
      <x:c r="J20" s="2"/>
      <x:c r="K20" s="2"/>
      <x:c r="L20" s="2"/>
      <x:c r="M20" s="2"/>
    </x:row>
    <x:row r="21" spans="1:13">
      <x:c r="A21" s="7"/>
      <x:c r="B21" s="7"/>
      <x:c r="C21" s="2" t="s">
        <x:v>65</x:v>
      </x:c>
      <x:c r="D21" s="2" t="s">
        <x:v>122</x:v>
      </x:c>
      <x:c r="E21" s="2" t="s">
        <x:v>128</x:v>
      </x:c>
      <x:c r="F21" s="2" t="s">
        <x:v>130</x:v>
      </x:c>
      <x:c r="G21" s="2" t="s">
        <x:v>121</x:v>
      </x:c>
      <x:c r="H21" s="2"/>
      <x:c r="I21" s="2"/>
      <x:c r="J21" s="2"/>
      <x:c r="K21" s="2"/>
      <x:c r="L21" s="2"/>
      <x:c r="M21" s="2"/>
    </x:row>
    <x:row r="22" spans="1:13">
      <x:c r="A22" s="7"/>
      <x:c r="B22" s="7"/>
      <x:c r="C22" s="2" t="s">
        <x:v>58</x:v>
      </x:c>
      <x:c r="D22" s="2" t="s">
        <x:v>117</x:v>
      </x:c>
      <x:c r="E22" s="2" t="s">
        <x:v>110</x:v>
      </x:c>
      <x:c r="F22" s="2" t="s">
        <x:v>103</x:v>
      </x:c>
      <x:c r="G22" s="2"/>
      <x:c r="H22" s="2"/>
      <x:c r="I22" s="2"/>
      <x:c r="J22" s="2"/>
      <x:c r="K22" s="2"/>
      <x:c r="L22" s="2"/>
      <x:c r="M22" s="2"/>
    </x:row>
  </x:sheetData>
  <x:mergeCells count="6">
    <x:mergeCell ref="A2:A12"/>
    <x:mergeCell ref="B2:B6"/>
    <x:mergeCell ref="B7:B12"/>
    <x:mergeCell ref="A13:B16"/>
    <x:mergeCell ref="A17:B22"/>
    <x:mergeCell ref="A1:B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J52"/>
  <x:sheetViews>
    <x:sheetView topLeftCell="A1" zoomScaleNormal="100" zoomScaleSheetLayoutView="75" workbookViewId="0">
      <x:selection activeCell="J16" activeCellId="0" sqref="J16:J16"/>
    </x:sheetView>
  </x:sheetViews>
  <x:sheetFormatPr defaultColWidth="9.00390625" defaultRowHeight="16.399999999999999"/>
  <x:cols>
    <x:col min="1" max="1" width="4.046875" style="3" bestFit="1" customWidth="1"/>
    <x:col min="2" max="2" width="9.00390625" style="3" customWidth="1"/>
    <x:col min="3" max="3" width="9.00390625" style="3"/>
    <x:col min="4" max="4" width="9.00390625" style="3" customWidth="1"/>
    <x:col min="5" max="16384" width="9.00390625" style="3"/>
  </x:cols>
  <x:sheetData>
    <x:row r="1" spans="1:10">
      <x:c r="A1" s="8" t="s">
        <x:v>26</x:v>
      </x:c>
      <x:c r="B1" s="8" t="s">
        <x:v>20</x:v>
      </x:c>
      <x:c r="C1" s="8"/>
      <x:c r="D1" s="8" t="s">
        <x:v>16</x:v>
      </x:c>
      <x:c r="E1" s="8"/>
      <x:c r="G1" s="9" t="s">
        <x:v>0</x:v>
      </x:c>
      <x:c r="H1" s="10"/>
      <x:c r="I1" s="10"/>
      <x:c r="J1" s="11"/>
    </x:row>
    <x:row r="2" spans="1:10">
      <x:c r="A2" s="8"/>
      <x:c r="B2" s="4" t="s">
        <x:v>24</x:v>
      </x:c>
      <x:c r="C2" s="4" t="s">
        <x:v>5</x:v>
      </x:c>
      <x:c r="D2" s="4" t="s">
        <x:v>24</x:v>
      </x:c>
      <x:c r="E2" s="4" t="s">
        <x:v>5</x:v>
      </x:c>
      <x:c r="G2" s="12"/>
      <x:c r="H2" s="13"/>
      <x:c r="I2" s="13"/>
      <x:c r="J2" s="14"/>
    </x:row>
    <x:row r="3" spans="1:10">
      <x:c r="A3" s="3">
        <x:v>1</x:v>
      </x:c>
      <x:c r="G3" s="15"/>
      <x:c r="H3" s="16"/>
      <x:c r="I3" s="16"/>
      <x:c r="J3" s="17"/>
    </x:row>
    <x:row r="4" spans="1:1">
      <x:c r="A4" s="3">
        <x:v>2</x:v>
      </x:c>
    </x:row>
    <x:row r="5" spans="1:1">
      <x:c r="A5" s="3">
        <x:v>3</x:v>
      </x:c>
    </x:row>
    <x:row r="6" spans="1:1">
      <x:c r="A6" s="3">
        <x:v>4</x:v>
      </x:c>
    </x:row>
    <x:row r="7" spans="1:1">
      <x:c r="A7" s="3">
        <x:v>5</x:v>
      </x:c>
    </x:row>
    <x:row r="8" spans="1:1">
      <x:c r="A8" s="3">
        <x:v>6</x:v>
      </x:c>
    </x:row>
    <x:row r="9" spans="1:1">
      <x:c r="A9" s="3">
        <x:v>7</x:v>
      </x:c>
    </x:row>
    <x:row r="10" spans="1:1">
      <x:c r="A10" s="3">
        <x:v>8</x:v>
      </x:c>
    </x:row>
    <x:row r="11" spans="1:1">
      <x:c r="A11" s="3">
        <x:v>9</x:v>
      </x:c>
    </x:row>
    <x:row r="12" spans="1:1">
      <x:c r="A12" s="3">
        <x:v>10</x:v>
      </x:c>
    </x:row>
    <x:row r="13" spans="1:1">
      <x:c r="A13" s="3">
        <x:v>11</x:v>
      </x:c>
    </x:row>
    <x:row r="14" spans="1:1">
      <x:c r="A14" s="3">
        <x:v>12</x:v>
      </x:c>
    </x:row>
    <x:row r="15" spans="1:1">
      <x:c r="A15" s="3">
        <x:v>13</x:v>
      </x:c>
    </x:row>
    <x:row r="16" spans="1:1">
      <x:c r="A16" s="3">
        <x:v>14</x:v>
      </x:c>
    </x:row>
    <x:row r="17" spans="1:1">
      <x:c r="A17" s="3">
        <x:v>15</x:v>
      </x:c>
    </x:row>
    <x:row r="18" spans="1:1">
      <x:c r="A18" s="3">
        <x:v>16</x:v>
      </x:c>
    </x:row>
    <x:row r="19" spans="1:1">
      <x:c r="A19" s="3">
        <x:v>17</x:v>
      </x:c>
    </x:row>
    <x:row r="20" spans="1:1">
      <x:c r="A20" s="3">
        <x:v>18</x:v>
      </x:c>
    </x:row>
    <x:row r="21" spans="1:1">
      <x:c r="A21" s="3">
        <x:v>19</x:v>
      </x:c>
    </x:row>
    <x:row r="22" spans="1:1">
      <x:c r="A22" s="3">
        <x:v>20</x:v>
      </x:c>
    </x:row>
    <x:row r="23" spans="1:1">
      <x:c r="A23" s="3">
        <x:v>21</x:v>
      </x:c>
    </x:row>
    <x:row r="24" spans="1:1">
      <x:c r="A24" s="3">
        <x:v>22</x:v>
      </x:c>
    </x:row>
    <x:row r="25" spans="1:1">
      <x:c r="A25" s="3">
        <x:v>23</x:v>
      </x:c>
    </x:row>
    <x:row r="26" spans="1:1">
      <x:c r="A26" s="3">
        <x:v>24</x:v>
      </x:c>
    </x:row>
    <x:row r="27" spans="1:1">
      <x:c r="A27" s="3">
        <x:v>25</x:v>
      </x:c>
    </x:row>
    <x:row r="28" spans="1:1">
      <x:c r="A28" s="3">
        <x:v>26</x:v>
      </x:c>
    </x:row>
    <x:row r="29" spans="1:1">
      <x:c r="A29" s="3">
        <x:v>27</x:v>
      </x:c>
    </x:row>
    <x:row r="30" spans="1:1">
      <x:c r="A30" s="3">
        <x:v>28</x:v>
      </x:c>
    </x:row>
    <x:row r="31" spans="1:1">
      <x:c r="A31" s="3">
        <x:v>29</x:v>
      </x:c>
    </x:row>
    <x:row r="32" spans="1:1">
      <x:c r="A32" s="3">
        <x:v>30</x:v>
      </x:c>
    </x:row>
    <x:row r="33" spans="1:1">
      <x:c r="A33" s="3">
        <x:v>31</x:v>
      </x:c>
    </x:row>
    <x:row r="34" spans="1:1">
      <x:c r="A34" s="3">
        <x:v>32</x:v>
      </x:c>
    </x:row>
    <x:row r="35" spans="1:1">
      <x:c r="A35" s="3">
        <x:v>33</x:v>
      </x:c>
    </x:row>
    <x:row r="36" spans="1:1">
      <x:c r="A36" s="3">
        <x:v>34</x:v>
      </x:c>
    </x:row>
    <x:row r="37" spans="1:1">
      <x:c r="A37" s="3">
        <x:v>35</x:v>
      </x:c>
    </x:row>
    <x:row r="38" spans="1:1">
      <x:c r="A38" s="3">
        <x:v>36</x:v>
      </x:c>
    </x:row>
    <x:row r="39" spans="1:1">
      <x:c r="A39" s="3">
        <x:v>37</x:v>
      </x:c>
    </x:row>
    <x:row r="40" spans="1:1">
      <x:c r="A40" s="3">
        <x:v>38</x:v>
      </x:c>
    </x:row>
    <x:row r="41" spans="1:1">
      <x:c r="A41" s="3">
        <x:v>39</x:v>
      </x:c>
    </x:row>
    <x:row r="42" spans="1:1">
      <x:c r="A42" s="3">
        <x:v>40</x:v>
      </x:c>
    </x:row>
    <x:row r="43" spans="1:1">
      <x:c r="A43" s="3">
        <x:v>41</x:v>
      </x:c>
    </x:row>
    <x:row r="44" spans="1:1">
      <x:c r="A44" s="3">
        <x:v>42</x:v>
      </x:c>
    </x:row>
    <x:row r="45" spans="1:1">
      <x:c r="A45" s="3">
        <x:v>43</x:v>
      </x:c>
    </x:row>
    <x:row r="46" spans="1:1">
      <x:c r="A46" s="3">
        <x:v>44</x:v>
      </x:c>
    </x:row>
    <x:row r="47" spans="1:1">
      <x:c r="A47" s="3">
        <x:v>45</x:v>
      </x:c>
    </x:row>
    <x:row r="48" spans="1:1">
      <x:c r="A48" s="3">
        <x:v>46</x:v>
      </x:c>
    </x:row>
    <x:row r="49" spans="1:1">
      <x:c r="A49" s="3">
        <x:v>47</x:v>
      </x:c>
    </x:row>
    <x:row r="50" spans="1:1">
      <x:c r="A50" s="3">
        <x:v>48</x:v>
      </x:c>
    </x:row>
    <x:row r="51" spans="1:1">
      <x:c r="A51" s="3">
        <x:v>49</x:v>
      </x:c>
    </x:row>
    <x:row r="52" spans="1:1">
      <x:c r="A52" s="3">
        <x:v>50</x:v>
      </x:c>
    </x:row>
  </x:sheetData>
  <x:mergeCells count="4">
    <x:mergeCell ref="D1:E1"/>
    <x:mergeCell ref="B1:C1"/>
    <x:mergeCell ref="A1:A2"/>
    <x:mergeCell ref="G1:J3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M22"/>
  <x:sheetViews>
    <x:sheetView topLeftCell="A1" zoomScale="80" zoomScaleNormal="80" zoomScaleSheetLayoutView="75" workbookViewId="0">
      <x:pane xSplit="3" ySplit="0" topLeftCell="D1" activePane="topRight" state="frozen"/>
      <x:selection pane="topRight" activeCell="A1" activeCellId="0" sqref="A1:B1"/>
    </x:sheetView>
  </x:sheetViews>
  <x:sheetFormatPr defaultColWidth="9.00390625" defaultRowHeight="16.399999999999999"/>
  <x:cols>
    <x:col min="1" max="1" width="13.60546875" bestFit="1" customWidth="1"/>
    <x:col min="2" max="2" width="4.92578125" bestFit="1" customWidth="1"/>
    <x:col min="3" max="3" width="27.33203125" bestFit="1" customWidth="1"/>
    <x:col min="4" max="6" width="24.8203125" bestFit="1" customWidth="1"/>
    <x:col min="7" max="8" width="24.1875" bestFit="1" customWidth="1"/>
    <x:col min="9" max="10" width="32.08203125" bestFit="1" customWidth="1"/>
    <x:col min="11" max="13" width="25.12890625" bestFit="1" customWidth="1"/>
  </x:cols>
  <x:sheetData>
    <x:row r="1" spans="1:13">
      <x:c r="A1" s="7" t="s">
        <x:v>4</x:v>
      </x:c>
      <x:c r="B1" s="7"/>
      <x:c r="C1" s="1" t="s">
        <x:v>6</x:v>
      </x:c>
      <x:c r="D1" s="1" t="s">
        <x:v>19</x:v>
      </x:c>
      <x:c r="E1" s="1" t="s">
        <x:v>9</x:v>
      </x:c>
      <x:c r="F1" s="1" t="s">
        <x:v>2</x:v>
      </x:c>
      <x:c r="G1" s="1" t="s">
        <x:v>17</x:v>
      </x:c>
      <x:c r="H1" s="1" t="s">
        <x:v>14</x:v>
      </x:c>
      <x:c r="I1" s="1" t="s">
        <x:v>3</x:v>
      </x:c>
      <x:c r="J1" s="1" t="s">
        <x:v>1</x:v>
      </x:c>
      <x:c r="K1" s="1" t="s">
        <x:v>7</x:v>
      </x:c>
      <x:c r="L1" s="1" t="s">
        <x:v>18</x:v>
      </x:c>
      <x:c r="M1" s="1" t="s">
        <x:v>13</x:v>
      </x:c>
    </x:row>
    <x:row r="2" spans="1:13">
      <x:c r="A2" s="7" t="s">
        <x:v>59</x:v>
      </x:c>
      <x:c r="B2" s="7" t="s">
        <x:v>12</x:v>
      </x:c>
      <x:c r="C2" s="2" t="s">
        <x:v>32</x:v>
      </x:c>
      <x:c r="D2" s="2"/>
      <x:c r="E2" s="2"/>
      <x:c r="F2" s="2"/>
      <x:c r="G2" s="2"/>
      <x:c r="H2" s="2" t="str">
        <x:f>IF(ISBLANK(명단!$E$12),"",명단!$E$12)&amp;" "&amp;IF(ISBLANK(명단!$E$14),"",명단!$E$14)&amp;" "&amp;IF(ISBLANK(명단!$E$18),"",명단!$E$18)&amp;" "&amp;IF(ISBLANK(명단!$E$21),"",명단!$E$21)</x:f>
        <x:v xml:space="preserve">   </x:v>
      </x:c>
      <x:c r="I2" s="2" t="str">
        <x:f>IF(ISBLANK(명단!$E$33),"",명단!$E$33)&amp;" "&amp;IF(ISBLANK(명단!$E$39),"",명단!$E$39)</x:f>
        <x:v xml:space="preserve"> </x:v>
      </x:c>
      <x:c r="J2" s="2" t="str">
        <x:f>IF(ISBLANK(명단!$E$34),"",명단!$E$34)&amp;" "&amp;IF(ISBLANK(명단!$E$37),"",명단!$E$37)</x:f>
        <x:v xml:space="preserve"> </x:v>
      </x:c>
      <x:c r="K2" s="2"/>
      <x:c r="L2" s="2"/>
      <x:c r="M2" s="2"/>
    </x:row>
    <x:row r="3" spans="1:13">
      <x:c r="A3" s="7"/>
      <x:c r="B3" s="7"/>
      <x:c r="C3" s="2" t="s">
        <x:v>33</x:v>
      </x:c>
      <x:c r="D3" s="2"/>
      <x:c r="E3" s="2"/>
      <x:c r="F3" s="2"/>
      <x:c r="G3" s="2"/>
      <x:c r="H3" s="2"/>
      <x:c r="I3" s="2" t="str">
        <x:f>IF(ISBLANK(명단!$E$3),"",명단!$E$3)&amp;" "&amp;IF(ISBLANK(명단!$E$13),"",명단!$E$13)&amp;" "&amp;IF(ISBLANK(명단!$E$15),"",명단!$E$15)&amp;" "&amp;IF(ISBLANK(명단!$E$17),"",명단!$E$17)</x:f>
        <x:v xml:space="preserve">   </x:v>
      </x:c>
      <x:c r="J3" s="2" t="str">
        <x:f>IF(ISBLANK(명단!$E$16),"",명단!$E$16)&amp;" "&amp;IF(ISBLANK(명단!$E$4),"",명단!$E$4)&amp;" "&amp;IF(ISBLANK(명단!$E$23),"",명단!$E$23)&amp;" "&amp;IF(ISBLANK(명단!$E$24),"",명단!$E$24)</x:f>
        <x:v xml:space="preserve">   </x:v>
      </x:c>
      <x:c r="K3" s="2"/>
      <x:c r="L3" s="2"/>
      <x:c r="M3" s="2"/>
    </x:row>
    <x:row r="4" spans="1:13">
      <x:c r="A4" s="7"/>
      <x:c r="B4" s="7"/>
      <x:c r="C4" s="2" t="s">
        <x:v>108</x:v>
      </x:c>
      <x:c r="D4" s="2"/>
      <x:c r="E4" s="2"/>
      <x:c r="F4" s="2"/>
      <x:c r="G4" s="2"/>
      <x:c r="H4" s="2"/>
      <x:c r="I4" s="2" t="str">
        <x:f>IF(ISBLANK(명단!$E$19),"",명단!$E$19)&amp;" "&amp;IF(ISBLANK(명단!$E$22),"",명단!$E$22)&amp;" "&amp;IF(ISBLANK(명단!$E$25),"",명단!$E$25)&amp;" "&amp;IF(ISBLANK(명단!$E$28),"",명단!$E$28)</x:f>
        <x:v xml:space="preserve">   </x:v>
      </x:c>
      <x:c r="J4" s="2" t="str">
        <x:f>IF(ISBLANK(명단!$E$26),"",명단!$E$26)&amp;" "&amp;IF(ISBLANK(명단!$E$27),"",명단!$E$27)</x:f>
        <x:v xml:space="preserve"> </x:v>
      </x:c>
      <x:c r="K4" s="2"/>
      <x:c r="L4" s="2"/>
      <x:c r="M4" s="2"/>
    </x:row>
    <x:row r="5" spans="1:13">
      <x:c r="A5" s="7"/>
      <x:c r="B5" s="7"/>
      <x:c r="C5" s="2" t="s">
        <x:v>61</x:v>
      </x:c>
      <x:c r="D5" s="2"/>
      <x:c r="E5" s="2"/>
      <x:c r="F5" s="2"/>
      <x:c r="G5" s="2"/>
      <x:c r="H5" s="2"/>
      <x:c r="I5" s="2"/>
      <x:c r="J5" s="2"/>
      <x:c r="K5" s="2" t="str">
        <x:f>IF(ISBLANK(명단!$C$12),"",명단!$C$12)&amp;" "&amp;IF(ISBLANK(명단!$C$14),"",명단!$C$14)&amp;" "&amp;IF(ISBLANK(명단!$C$16),"",명단!$C$16)</x:f>
        <x:v xml:space="preserve">  </x:v>
      </x:c>
      <x:c r="L5" s="2" t="str">
        <x:f>IF(ISBLANK(명단!$C$15),"",명단!$C$15)&amp;" "&amp;IF(ISBLANK(명단!$C$4),"",명단!$C$4)&amp;" "&amp;IF(ISBLANK(명단!$C$5),"",명단!$C$5)</x:f>
        <x:v xml:space="preserve">  </x:v>
      </x:c>
      <x:c r="M5" s="2" t="str">
        <x:f>IF(ISBLANK(명단!$C$13),"",명단!$C$13)&amp;" "&amp;IF(ISBLANK(명단!$C$23),"",명단!$C$23)&amp;" "&amp;IF(ISBLANK(명단!$C$24),"",명단!$C$24)</x:f>
        <x:v xml:space="preserve">  </x:v>
      </x:c>
    </x:row>
    <x:row r="6" spans="1:13">
      <x:c r="A6" s="7"/>
      <x:c r="B6" s="7"/>
      <x:c r="C6" s="2" t="s">
        <x:v>72</x:v>
      </x:c>
      <x:c r="D6" s="2"/>
      <x:c r="E6" s="2"/>
      <x:c r="F6" s="2"/>
      <x:c r="G6" s="2"/>
      <x:c r="H6" s="2"/>
      <x:c r="I6" s="2"/>
      <x:c r="J6" s="2"/>
      <x:c r="K6" s="2" t="str">
        <x:f>IF(ISBLANK(명단!$C$17),"",명단!$C$17)&amp;" "&amp;IF(ISBLANK(명단!$C$18),"",명단!$C$18)&amp;" "&amp;IF(ISBLANK(명단!$C$32),"",명단!$C$32)&amp;" "&amp;IF(ISBLANK(명단!$C$35),"",명단!$C$35)</x:f>
        <x:v xml:space="preserve">   </x:v>
      </x:c>
      <x:c r="L6" s="2" t="str">
        <x:f>IF(ISBLANK(명단!$C$39),"",명단!$C$39)&amp;" "&amp;IF(ISBLANK(명단!$C$40),"",명단!$C$40)&amp;" "&amp;IF(ISBLANK(명단!$C$43),"",명단!$C$43)&amp;" "&amp;IF(ISBLANK(명단!$C$44),"",명단!$C$44)</x:f>
        <x:v xml:space="preserve">   </x:v>
      </x:c>
      <x:c r="M6" s="2" t="str">
        <x:f>IF(ISBLANK(명단!$C$3),"",명단!$C$3)&amp;" "&amp;IF(ISBLANK(명단!$C$28),"",명단!$C$28)&amp;" "&amp;IF(ISBLANK(명단!$C$31),"",명단!$C$31)&amp;" "&amp;IF(ISBLANK(명단!$C$34),"",명단!$C$34)</x:f>
        <x:v xml:space="preserve">   </x:v>
      </x:c>
    </x:row>
    <x:row r="7" spans="1:13">
      <x:c r="A7" s="7"/>
      <x:c r="B7" s="7" t="s">
        <x:v>21</x:v>
      </x:c>
      <x:c r="C7" s="2" t="s">
        <x:v>113</x:v>
      </x:c>
      <x:c r="D7" s="2"/>
      <x:c r="E7" s="2"/>
      <x:c r="F7" s="2"/>
      <x:c r="G7" s="2"/>
      <x:c r="H7" s="2" t="str">
        <x:f>IF(ISBLANK(명단!$E$30),"",명단!$E$30)&amp;" "&amp;IF(ISBLANK(명단!$E$35),"",명단!$E$35)</x:f>
        <x:v xml:space="preserve"> </x:v>
      </x:c>
      <x:c r="I7" s="2" t="str">
        <x:f>IF(ISBLANK(명단!$E$43),"",명단!$E$43)</x:f>
        <x:v/>
      </x:c>
      <x:c r="J7" s="2" t="str">
        <x:f>IF(ISBLANK(명단!$E$38),"",명단!$E$38)</x:f>
        <x:v/>
      </x:c>
      <x:c r="K7" s="2"/>
      <x:c r="L7" s="2"/>
      <x:c r="M7" s="2"/>
    </x:row>
    <x:row r="8" spans="1:13">
      <x:c r="A8" s="7"/>
      <x:c r="B8" s="7"/>
      <x:c r="C8" s="2" t="s">
        <x:v>51</x:v>
      </x:c>
      <x:c r="D8" s="2"/>
      <x:c r="E8" s="2"/>
      <x:c r="F8" s="2"/>
      <x:c r="G8" s="2"/>
      <x:c r="H8" s="2" t="str">
        <x:f>IF(ISBLANK(명단!$E$6),"",명단!$E$6)&amp;" "&amp;IF(ISBLANK(명단!$E$50),"",명단!$E$50)</x:f>
        <x:v xml:space="preserve"> </x:v>
      </x:c>
      <x:c r="I8" s="2" t="str">
        <x:f>IF(ISBLANK(명단!$E$48),"",명단!$E$48)</x:f>
        <x:v/>
      </x:c>
      <x:c r="J8" s="2" t="str">
        <x:f>IF(ISBLANK(명단!$E$44),"",명단!$E$44)</x:f>
        <x:v/>
      </x:c>
      <x:c r="K8" s="2"/>
      <x:c r="L8" s="2"/>
      <x:c r="M8" s="2"/>
    </x:row>
    <x:row r="9" spans="1:13">
      <x:c r="A9" s="7"/>
      <x:c r="B9" s="7"/>
      <x:c r="C9" s="2" t="s">
        <x:v>65</x:v>
      </x:c>
      <x:c r="D9" s="2"/>
      <x:c r="E9" s="2"/>
      <x:c r="F9" s="2"/>
      <x:c r="G9" s="2"/>
      <x:c r="H9" s="2"/>
      <x:c r="I9" s="2" t="str">
        <x:f>IF(ISBLANK(명단!$E$31),"",명단!$E$31)&amp;" "&amp;IF(ISBLANK(명단!$E$32),"",명단!$E$32)&amp;" "&amp;IF(ISBLANK(명단!$E$42),"",명단!$E$42)&amp;" "&amp;IF(ISBLANK(명단!$E$45),"",명단!$E$45)&amp;" "&amp;IF(ISBLANK(명단!$E$46),"",명단!$E$46)&amp;" "&amp;IF(ISBLANK(명단!$E$51),"",명단!$E$51)&amp;" "&amp;IF(ISBLANK(명단!$E$10),"",명단!$E$10)&amp;" "&amp;IF(ISBLANK(명단!$E$11),"",명단!$E$11)</x:f>
        <x:v xml:space="preserve">       </x:v>
      </x:c>
      <x:c r="J9" s="2" t="str">
        <x:f>IF(ISBLANK(명단!$E$29),"",명단!$E$29)&amp;" "&amp;IF(ISBLANK(명단!$E$5),"",명단!$E$5)&amp;" "&amp;IF(ISBLANK(명단!$E$47),"",명단!$E$47)&amp;" "&amp;IF(ISBLANK(명단!$E$49),"",명단!$E$49)&amp;" "&amp;IF(ISBLANK(명단!$E$7),"",명단!$E$7)&amp;" "&amp;IF(ISBLANK(명단!$E$8),"",명단!$E$8)</x:f>
        <x:v xml:space="preserve">     </x:v>
      </x:c>
      <x:c r="K9" s="2"/>
      <x:c r="L9" s="2"/>
      <x:c r="M9" s="2"/>
    </x:row>
    <x:row r="10" spans="1:13">
      <x:c r="A10" s="7"/>
      <x:c r="B10" s="7"/>
      <x:c r="C10" s="2" t="s">
        <x:v>60</x:v>
      </x:c>
      <x:c r="D10" s="2"/>
      <x:c r="E10" s="2"/>
      <x:c r="F10" s="2"/>
      <x:c r="G10" s="2"/>
      <x:c r="H10" s="2"/>
      <x:c r="I10" s="2"/>
      <x:c r="J10" s="2"/>
      <x:c r="K10" s="2" t="str">
        <x:f>IF(ISBLANK(명단!$C$36),"",명단!$C$36)&amp;" "&amp;IF(ISBLANK(명단!$C$10),"",명단!$C$10)</x:f>
        <x:v xml:space="preserve"> </x:v>
      </x:c>
      <x:c r="L10" s="2" t="str">
        <x:f>IF(ISBLANK(명단!$C$41),"",명단!$C$41)&amp;" "&amp;IF(ISBLANK(명단!$C$7),"",명단!$C$7)</x:f>
        <x:v xml:space="preserve"> </x:v>
      </x:c>
      <x:c r="M10" s="2"/>
    </x:row>
    <x:row r="11" spans="1:13">
      <x:c r="A11" s="7"/>
      <x:c r="B11" s="7"/>
      <x:c r="C11" s="2" t="s">
        <x:v>62</x:v>
      </x:c>
      <x:c r="D11" s="2"/>
      <x:c r="E11" s="2"/>
      <x:c r="F11" s="2"/>
      <x:c r="G11" s="2"/>
      <x:c r="H11" s="2" t="str">
        <x:f>IF(ISBLANK(명단!$E$20),"",명단!$E$20)&amp;" "&amp;IF(ISBLANK(명단!$E$9),"",명단!$E$9)</x:f>
        <x:v xml:space="preserve"> </x:v>
      </x:c>
      <x:c r="I11" s="2" t="str">
        <x:f>IF(ISBLANK(명단!$E$40),"",명단!$E$40)&amp;" "&amp;IF(ISBLANK(명단!$E$41),"",명단!$E$41)</x:f>
        <x:v xml:space="preserve"> </x:v>
      </x:c>
      <x:c r="J11" s="2" t="str">
        <x:f>IF(ISBLANK(명단!$E$36),"",명단!$E$36)&amp;" "&amp;IF(ISBLANK(명단!$E$52),"",명단!$E$52)</x:f>
        <x:v xml:space="preserve"> </x:v>
      </x:c>
      <x:c r="K11" s="2" t="str">
        <x:f>IF(ISBLANK(명단!$C$6),"",명단!$C$6)&amp;" "&amp;IF(ISBLANK(명단!$C$11),"",명단!$C$11)</x:f>
        <x:v xml:space="preserve"> </x:v>
      </x:c>
      <x:c r="L11" s="2" t="str">
        <x:f>IF(ISBLANK(명단!$C$8),"",명단!$C$8)&amp;" "&amp;IF(ISBLANK(명단!$C$9),"",명단!$C$9)</x:f>
        <x:v xml:space="preserve"> </x:v>
      </x:c>
      <x:c r="M11" s="2" t="str">
        <x:f>IF(ISBLANK(명단!$C$33),"",명단!$C$33)&amp;" "&amp;IF(ISBLANK(명단!$C$46),"",명단!$C$46)</x:f>
        <x:v xml:space="preserve"> </x:v>
      </x:c>
    </x:row>
    <x:row r="12" spans="1:13" ht="16.75">
      <x:c r="A12" s="18"/>
      <x:c r="B12" s="18"/>
      <x:c r="C12" s="5" t="s">
        <x:v>61</x:v>
      </x:c>
      <x:c r="D12" s="5"/>
      <x:c r="E12" s="5"/>
      <x:c r="F12" s="5"/>
      <x:c r="G12" s="5"/>
      <x:c r="H12" s="5"/>
      <x:c r="I12" s="5"/>
      <x:c r="J12" s="5"/>
      <x:c r="K12" s="5" t="str">
        <x:f>IF(ISBLANK(명단!$C$19),"",명단!$C$19)&amp;" "&amp;IF(ISBLANK(명단!$C$20),"",명단!$C$20)&amp;" "&amp;IF(ISBLANK(명단!$C$21),"",명단!$C$21)&amp;" "&amp;IF(ISBLANK(명단!$C$22),"",명단!$C$22)&amp;" "&amp;IF(ISBLANK(명단!$C$26),"",명단!$C$26)</x:f>
        <x:v xml:space="preserve">    </x:v>
      </x:c>
      <x:c r="L12" s="5" t="str">
        <x:f>IF(ISBLANK(명단!$C$37),"",명단!$C$37)&amp;" "&amp;IF(ISBLANK(명단!$C$38),"",명단!$C$38)&amp;" "&amp;IF(ISBLANK(명단!$C$42),"",명단!$C$42)&amp;" "&amp;IF(ISBLANK(명단!$C$45),"",명단!$C$45)</x:f>
        <x:v xml:space="preserve">   </x:v>
      </x:c>
      <x:c r="M12" s="5" t="str">
        <x:f>IF(ISBLANK(명단!$C$25),"",명단!$C$25)&amp;" "&amp;IF(ISBLANK(명단!$C$27),"",명단!$C$27)&amp;" "&amp;IF(ISBLANK(명단!$C$29),"",명단!$C$29)&amp;" "&amp;IF(ISBLANK(명단!$C$30),"",명단!$C$30)</x:f>
        <x:v xml:space="preserve">   </x:v>
      </x:c>
    </x:row>
    <x:row r="13" spans="1:13">
      <x:c r="A13" s="19" t="s">
        <x:v>8</x:v>
      </x:c>
      <x:c r="B13" s="19"/>
      <x:c r="C13" s="6" t="s">
        <x:v>64</x:v>
      </x:c>
      <x:c r="D13" s="6"/>
      <x:c r="E13" s="6"/>
      <x:c r="F13" s="6"/>
      <x:c r="G13" s="6"/>
      <x:c r="H13" s="6" t="str">
        <x:f>IF(ISBLANK(명단!$E$19),"",명단!$E$19)&amp;" "&amp;IF(ISBLANK(명단!$E$23),"",명단!$E$23)&amp;" "&amp;IF(ISBLANK(명단!$E$26),"",명단!$E$26)&amp;" "&amp;IF(ISBLANK(명단!$E$27),"",명단!$E$27)&amp;" "&amp;IF(ISBLANK(명단!$E$41),"",명단!$E$41)&amp;" "&amp;IF(ISBLANK(명단!$E$43),"",명단!$E$43)</x:f>
        <x:v xml:space="preserve">     </x:v>
      </x:c>
      <x:c r="I13" s="6" t="str">
        <x:f>IF(ISBLANK(명단!$E$12),"",명단!$E$12)&amp;" "&amp;IF(ISBLANK(명단!$E$4),"",명단!$E$4)&amp;" "&amp;IF(ISBLANK(명단!$E$24),"",명단!$E$24)&amp;" "&amp;IF(ISBLANK(명단!$E$29),"",명단!$E$29)&amp;" "&amp;IF(ISBLANK(명단!$E$5),"",명단!$E$5)&amp;" "&amp;IF(ISBLANK(명단!$E$8),"",명단!$E$8)</x:f>
        <x:v xml:space="preserve">     </x:v>
      </x:c>
      <x:c r="J13" s="6" t="str">
        <x:f>IF(ISBLANK(명단!$E$3),"",명단!$E$3)&amp;" "&amp;IF(ISBLANK(명단!$E$18),"",명단!$E$18)&amp;" "&amp;IF(ISBLANK(명단!$E$20),"",명단!$E$20)&amp;" "&amp;IF(ISBLANK(명단!$E$21),"",명단!$E$21)&amp;" "&amp;IF(ISBLANK(명단!$E$22),"",명단!$E$22)&amp;" "&amp;IF(ISBLANK(명단!$E$25),"",명단!$E$25)&amp;" "&amp;IF(ISBLANK(명단!$E$28),"",명단!$E$28)&amp;" "&amp;IF(ISBLANK(명단!$E$48),"",명단!$E$48)</x:f>
        <x:v xml:space="preserve">       </x:v>
      </x:c>
      <x:c r="K13" s="6"/>
      <x:c r="L13" s="6"/>
      <x:c r="M13" s="6"/>
    </x:row>
    <x:row r="14" spans="1:13">
      <x:c r="A14" s="7"/>
      <x:c r="B14" s="7"/>
      <x:c r="C14" s="2" t="s">
        <x:v>31</x:v>
      </x:c>
      <x:c r="D14" s="2"/>
      <x:c r="E14" s="2"/>
      <x:c r="F14" s="2"/>
      <x:c r="G14" s="2"/>
      <x:c r="H14" s="2"/>
      <x:c r="I14" s="2"/>
      <x:c r="J14" s="2"/>
      <x:c r="K14" s="2" t="str">
        <x:f>IF(ISBLANK(명단!$C$13),"",명단!$C$13)&amp;" "&amp;IF(ISBLANK(명단!$C$4),"",명단!$C$4)&amp;" "&amp;IF(ISBLANK(명단!$C$33),"",명단!$C$33)&amp;" "&amp;IF(ISBLANK(명단!$C$40),"",명단!$C$40)</x:f>
        <x:v xml:space="preserve">   </x:v>
      </x:c>
      <x:c r="L14" s="2" t="str">
        <x:f>IF(ISBLANK(명단!$C$12),"",명단!$C$12)&amp;" "&amp;IF(ISBLANK(명단!$C$26),"",명단!$C$26)&amp;" "&amp;IF(ISBLANK(명단!$C$27),"",명단!$C$27)&amp;" "&amp;IF(ISBLANK(명단!$C$29),"",명단!$C$29)&amp;" "&amp;IF(ISBLANK(명단!$C$46),"",명단!$C$46)</x:f>
        <x:v xml:space="preserve">    </x:v>
      </x:c>
      <x:c r="M14" s="2" t="str">
        <x:f>IF(ISBLANK(명단!$C$18),"",명단!$C$18)&amp;" "&amp;IF(ISBLANK(명단!$C$19),"",명단!$C$19)&amp;" "&amp;IF(ISBLANK(명단!$C$21),"",명단!$C$21)&amp;" "&amp;IF(ISBLANK(명단!$C$38),"",명단!$C$38)&amp;" "&amp;IF(ISBLANK(명단!$C$43),"",명단!$C$43)</x:f>
        <x:v xml:space="preserve">    </x:v>
      </x:c>
    </x:row>
    <x:row r="15" spans="1:13">
      <x:c r="A15" s="7"/>
      <x:c r="B15" s="7"/>
      <x:c r="C15" s="2" t="s">
        <x:v>68</x:v>
      </x:c>
      <x:c r="D15" s="2"/>
      <x:c r="E15" s="2"/>
      <x:c r="F15" s="2"/>
      <x:c r="G15" s="2"/>
      <x:c r="H15" s="2" t="str">
        <x:f>IF(ISBLANK(명단!$E$32),"",명단!$E$32)&amp;" "&amp;IF(ISBLANK(명단!$E$33),"",명단!$E$33)&amp;" "&amp;IF(ISBLANK(명단!$E$36),"",명단!$E$36)&amp;" "&amp;IF(ISBLANK(명단!$E$39),"",명단!$E$39)&amp;" "&amp;IF(ISBLANK(명단!$E$42),"",명단!$E$42)&amp;" "&amp;IF(ISBLANK(명단!$E$44),"",명단!$E$44)</x:f>
        <x:v xml:space="preserve">     </x:v>
      </x:c>
      <x:c r="I15" s="2" t="str">
        <x:f>IF(ISBLANK(명단!$E$34),"",명단!$E$34)&amp;" "&amp;IF(ISBLANK(명단!$E$35),"",명단!$E$35)&amp;" "&amp;IF(ISBLANK(명단!$E$37),"",명단!$E$37)&amp;" "&amp;IF(ISBLANK(명단!$E$38),"",명단!$E$38)&amp;" "&amp;IF(ISBLANK(명단!$E$50),"",명단!$E$50)&amp;" "&amp;IF(ISBLANK(명단!$E$9),"",명단!$E$9)</x:f>
        <x:v xml:space="preserve">     </x:v>
      </x:c>
      <x:c r="J15" s="2" t="str">
        <x:f>IF(ISBLANK(명단!$E$14),"",명단!$E$14)&amp;" "&amp;IF(ISBLANK(명단!$E$31),"",명단!$E$31)&amp;" "&amp;IF(ISBLANK(명단!$E$40),"",명단!$E$40)&amp;" "&amp;IF(ISBLANK(명단!$E$45),"",명단!$E$45)&amp;" "&amp;IF(ISBLANK(명단!$E$46),"",명단!$E$46)&amp;" "&amp;IF(ISBLANK(명단!$E$51),"",명단!$E$51)</x:f>
        <x:v xml:space="preserve">     </x:v>
      </x:c>
      <x:c r="K15" s="2" t="str">
        <x:f>IF(ISBLANK(명단!$C$23),"",명단!$C$23)&amp;" "&amp;IF(ISBLANK(명단!$C$24),"",명단!$C$24)&amp;" "&amp;IF(ISBLANK(명단!$C$25),"",명단!$C$25)&amp;" "&amp;IF(ISBLANK(명단!$C$5),"",명단!$C$5)&amp;" "&amp;IF(ISBLANK(명단!$C$44),"",명단!$C$44)&amp;" "&amp;IF(ISBLANK(명단!$C$45),"",명단!$C$45)</x:f>
        <x:v xml:space="preserve">     </x:v>
      </x:c>
      <x:c r="L15" s="2" t="str">
        <x:f>IF(ISBLANK(명단!$C$3),"",명단!$C$3)&amp;" "&amp;IF(ISBLANK(명단!$C$17),"",명단!$C$17)&amp;" "&amp;IF(ISBLANK(명단!$C$20),"",명단!$C$20)&amp;" "&amp;IF(ISBLANK(명단!$C$28),"",명단!$C$28)&amp;" "&amp;IF(ISBLANK(명단!$C$31),"",명단!$C$31)&amp;" "&amp;IF(ISBLANK(명단!$C$34),"",명단!$C$34)</x:f>
        <x:v xml:space="preserve">     </x:v>
      </x:c>
      <x:c r="M15" s="2" t="str">
        <x:f>IF(ISBLANK(명단!$C$14),"",명단!$C$14)&amp;" "&amp;IF(ISBLANK(명단!$C$15),"",명단!$C$15)&amp;" "&amp;IF(ISBLANK(명단!$C$16),"",명단!$C$16)&amp;" "&amp;IF(ISBLANK(명단!$C$36),"",명단!$C$36)&amp;" "&amp;IF(ISBLANK(명단!$C$39),"",명단!$C$39)&amp;" "&amp;IF(ISBLANK(명단!$C$6),"",명단!$C$6)</x:f>
        <x:v xml:space="preserve">     </x:v>
      </x:c>
    </x:row>
    <x:row r="16" spans="1:13" ht="16.75">
      <x:c r="A16" s="18"/>
      <x:c r="B16" s="18"/>
      <x:c r="C16" s="5" t="s">
        <x:v>97</x:v>
      </x:c>
      <x:c r="D16" s="5"/>
      <x:c r="E16" s="5"/>
      <x:c r="F16" s="5"/>
      <x:c r="G16" s="5"/>
      <x:c r="H16" s="5" t="str">
        <x:f>IF(ISBLANK(명단!$E$13),"",명단!$E$13)&amp;" "&amp;IF(ISBLANK(명단!$E$15),"",명단!$E$15)&amp;" "&amp;IF(ISBLANK(명단!$E$47),"",명단!$E$47)&amp;" "&amp;IF(ISBLANK(명단!$E$7),"",명단!$E$7)</x:f>
        <x:v xml:space="preserve">   </x:v>
      </x:c>
      <x:c r="I16" s="5" t="str">
        <x:f>IF(ISBLANK(명단!$E$16),"",명단!$E$16)&amp;" "&amp;IF(ISBLANK(명단!$E$6),"",명단!$E$6)&amp;" "&amp;IF(ISBLANK(명단!$E$49),"",명단!$E$49)&amp;" "&amp;IF(ISBLANK(명단!$E$52),"",명단!$E$52)</x:f>
        <x:v xml:space="preserve">   </x:v>
      </x:c>
      <x:c r="J16" s="5" t="str">
        <x:f>IF(ISBLANK(명단!$E$17),"",명단!$E$17)&amp;" "&amp;IF(ISBLANK(명단!$E$30),"",명단!$E$30)&amp;" "&amp;IF(ISBLANK(명단!$E$10),"",명단!$E$10)&amp;" "&amp;IF(ISBLANK(명단!$E$11),"",명단!$E$11)</x:f>
        <x:v xml:space="preserve">   </x:v>
      </x:c>
      <x:c r="K16" s="5" t="str">
        <x:f>IF(ISBLANK(명단!$C$41),"",명단!$C$41)&amp;" "&amp;IF(ISBLANK(명단!$C$7),"",명단!$C$7)&amp;" "&amp;IF(ISBLANK(명단!$C$8),"",명단!$C$8)&amp;" "&amp;IF(ISBLANK(명단!$C$9),"",명단!$C$9)</x:f>
        <x:v xml:space="preserve">   </x:v>
      </x:c>
      <x:c r="L16" s="5" t="str">
        <x:f>IF(ISBLANK(명단!$C$22),"",명단!$C$22)&amp;" "&amp;IF(ISBLANK(명단!$C$30),"",명단!$C$30)&amp;" "&amp;IF(ISBLANK(명단!$C$32),"",명단!$C$32)&amp;" "&amp;IF(ISBLANK(명단!$C$11),"",명단!$C$11)</x:f>
        <x:v xml:space="preserve">   </x:v>
      </x:c>
      <x:c r="M16" s="5" t="str">
        <x:f>IF(ISBLANK(명단!$C$35),"",명단!$C$35)&amp;" "&amp;IF(ISBLANK(명단!$C$37),"",명단!$C$37)&amp;" "&amp;IF(ISBLANK(명단!$C$42),"",명단!$C$42)&amp;" "&amp;IF(ISBLANK(명단!$C$10),"",명단!$C$10)</x:f>
        <x:v xml:space="preserve">   </x:v>
      </x:c>
    </x:row>
    <x:row r="17" spans="1:13">
      <x:c r="A17" s="19" t="s">
        <x:v>10</x:v>
      </x:c>
      <x:c r="B17" s="19"/>
      <x:c r="C17" s="6" t="s">
        <x:v>29</x:v>
      </x:c>
      <x:c r="D17" s="6"/>
      <x:c r="E17" s="6"/>
      <x:c r="F17" s="6"/>
      <x:c r="G17" s="6"/>
      <x:c r="H17" s="6" t="str">
        <x:f>IF(ISBLANK(명단!$E$28),"",명단!$E$28)&amp;" "&amp;IF(ISBLANK(명단!$E$11),"",명단!$E$11)</x:f>
        <x:v xml:space="preserve"> </x:v>
      </x:c>
      <x:c r="I17" s="6" t="str">
        <x:f>IF(ISBLANK(명단!$E$26),"",명단!$E$26)&amp;" "&amp;IF(ISBLANK(명단!$E$47),"",명단!$E$47)</x:f>
        <x:v xml:space="preserve"> </x:v>
      </x:c>
      <x:c r="J17" s="6" t="str">
        <x:f>IF(ISBLANK(명단!$E$12),"",명단!$E$12)&amp;" "&amp;IF(ISBLANK(명단!$E$35),"",명단!$E$35)</x:f>
        <x:v xml:space="preserve"> </x:v>
      </x:c>
      <x:c r="K17" s="6" t="str">
        <x:f>IF(ISBLANK(명단!$C$39),"",명단!$C$39)&amp;" "&amp;IF(ISBLANK(명단!$C$43),"",명단!$C$43)</x:f>
        <x:v xml:space="preserve"> </x:v>
      </x:c>
      <x:c r="L17" s="6" t="str">
        <x:f>IF(ISBLANK(명단!$C$21),"",명단!$C$21)&amp;" "&amp;IF(ISBLANK(명단!$C$36),"",명단!$C$36)</x:f>
        <x:v xml:space="preserve"> </x:v>
      </x:c>
      <x:c r="M17" s="6" t="str">
        <x:f>IF(ISBLANK(명단!$C$20),"",명단!$C$20)&amp;" "&amp;IF(ISBLANK(명단!$C$8),"",명단!$C$8)</x:f>
        <x:v xml:space="preserve"> </x:v>
      </x:c>
    </x:row>
    <x:row r="18" spans="1:13">
      <x:c r="A18" s="7"/>
      <x:c r="B18" s="7"/>
      <x:c r="C18" s="2" t="s">
        <x:v>32</x:v>
      </x:c>
      <x:c r="D18" s="2"/>
      <x:c r="E18" s="2"/>
      <x:c r="F18" s="2"/>
      <x:c r="G18" s="2"/>
      <x:c r="H18" s="2" t="str">
        <x:f>IF(ISBLANK(명단!$E$46),"",명단!$E$46)&amp;" "&amp;IF(ISBLANK(명단!$E$10),"",명단!$E$10)</x:f>
        <x:v xml:space="preserve"> </x:v>
      </x:c>
      <x:c r="I18" s="2" t="str">
        <x:f>IF(ISBLANK(명단!$E$20),"",명단!$E$20)&amp;" "&amp;IF(ISBLANK(명단!$E$23),"",명단!$E$23)</x:f>
        <x:v xml:space="preserve"> </x:v>
      </x:c>
      <x:c r="J18" s="2" t="str">
        <x:f>IF(ISBLANK(명단!$E$15),"",명단!$E$15)&amp;" "&amp;IF(ISBLANK(명단!$E$42),"",명단!$E$42)</x:f>
        <x:v xml:space="preserve"> </x:v>
      </x:c>
      <x:c r="K18" s="2" t="str">
        <x:f>IF(ISBLANK(명단!$C$29),"",명단!$C$29)&amp;" "&amp;IF(ISBLANK(명단!$C$30),"",명단!$C$30)</x:f>
        <x:v xml:space="preserve"> </x:v>
      </x:c>
      <x:c r="L18" s="2" t="str">
        <x:f>IF(ISBLANK(명단!$C$18),"",명단!$C$18)&amp;" "&amp;IF(ISBLANK(명단!$C$19),"",명단!$C$19)&amp;" "&amp;IF(ISBLANK(명단!$C$6),"",명단!$C$6)&amp;" "&amp;IF(ISBLANK(명단!$C$10),"",명단!$C$10)</x:f>
        <x:v xml:space="preserve">   </x:v>
      </x:c>
      <x:c r="M18" s="2" t="str">
        <x:f>IF(ISBLANK(명단!$C$12),"",명단!$C$12)&amp;" "&amp;IF(ISBLANK(명단!$C$17),"",명단!$C$17)&amp;" "&amp;IF(ISBLANK(명단!$C$26),"",명단!$C$26)&amp;" "&amp;IF(ISBLANK(명단!$C$5),"",명단!$C$5)</x:f>
        <x:v xml:space="preserve">   </x:v>
      </x:c>
    </x:row>
    <x:row r="19" spans="1:13">
      <x:c r="A19" s="7"/>
      <x:c r="B19" s="7"/>
      <x:c r="C19" s="2" t="s">
        <x:v>67</x:v>
      </x:c>
      <x:c r="D19" s="2"/>
      <x:c r="E19" s="2"/>
      <x:c r="F19" s="2"/>
      <x:c r="G19" s="2"/>
      <x:c r="H19" s="2" t="str">
        <x:f>IF(ISBLANK(명단!$E$24),"",명단!$E$24)&amp;" "&amp;IF(ISBLANK(명단!$E$31),"",명단!$E$31)&amp;" "&amp;IF(ISBLANK(명단!$E$34),"",명단!$E$34)</x:f>
        <x:v xml:space="preserve">  </x:v>
      </x:c>
      <x:c r="I19" s="2" t="str">
        <x:f>IF(ISBLANK(명단!$E$14),"",명단!$E$14)&amp;" "&amp;IF(ISBLANK(명단!$E$21),"",명단!$E$21)&amp;" "&amp;IF(ISBLANK(명단!$E$27),"",명단!$E$27)</x:f>
        <x:v xml:space="preserve">  </x:v>
      </x:c>
      <x:c r="J19" s="2" t="str">
        <x:f>IF(ISBLANK(명단!$E$19),"",명단!$E$19)&amp;" "&amp;IF(ISBLANK(명단!$E$32),"",명단!$E$32)&amp;" "&amp;IF(ISBLANK(명단!$E$9),"",명단!$E$9)</x:f>
        <x:v xml:space="preserve">  </x:v>
      </x:c>
      <x:c r="K19" s="2" t="str">
        <x:f>IF(ISBLANK(명단!$C$27),"",명단!$C$27)&amp;" "&amp;IF(ISBLANK(명단!$C$31),"",명단!$C$31)&amp;" "&amp;IF(ISBLANK(명단!$C$37),"",명단!$C$37)</x:f>
        <x:v xml:space="preserve">  </x:v>
      </x:c>
      <x:c r="L19" s="2" t="str">
        <x:f>IF(ISBLANK(명단!$C$14),"",명단!$C$14)&amp;" "&amp;IF(ISBLANK(명단!$C$33),"",명단!$C$33)&amp;" "&amp;IF(ISBLANK(명단!$C$35),"",명단!$C$35)</x:f>
        <x:v xml:space="preserve">  </x:v>
      </x:c>
      <x:c r="M19" s="2" t="str">
        <x:f>IF(ISBLANK(명단!$C$32),"",명단!$C$32)&amp;" "&amp;IF(ISBLANK(명단!$C$44),"",명단!$C$44)&amp;" "&amp;IF(ISBLANK(명단!$C$7),"",명단!$C$7)</x:f>
        <x:v xml:space="preserve">  </x:v>
      </x:c>
    </x:row>
    <x:row r="20" spans="1:13">
      <x:c r="A20" s="7"/>
      <x:c r="B20" s="7"/>
      <x:c r="C20" s="2" t="s">
        <x:v>30</x:v>
      </x:c>
      <x:c r="D20" s="2" t="str">
        <x:f>IF(ISBLANK(명단!$C$3),"",명단!$C$3)&amp;" "&amp;IF(ISBLANK(명단!$C$15),"",명단!$C$15)&amp;" "&amp;IF(ISBLANK(명단!$E$41),"",명단!$E$41)&amp;" "&amp;IF(ISBLANK(명단!$E$49),"",명단!$E$49)</x:f>
        <x:v xml:space="preserve">   </x:v>
      </x:c>
      <x:c r="E20" s="2" t="str">
        <x:f>IF(ISBLANK(명단!$C$4),"",명단!$C$4)&amp;" "&amp;IF(ISBLANK(명단!$C$28),"",명단!$C$28)&amp;" "&amp;IF(ISBLANK(명단!$E$5),"",명단!$E$5)&amp;" "&amp;IF(ISBLANK(명단!$E$7),"",명단!$E$7)</x:f>
        <x:v xml:space="preserve">   </x:v>
      </x:c>
      <x:c r="F20" s="2" t="str">
        <x:f>IF(ISBLANK(명단!$C$22),"",명단!$C$22)&amp;" "&amp;IF(ISBLANK(명단!$C$23),"",명단!$C$23)&amp;" "&amp;IF(ISBLANK(명단!$C$42),"",명단!$C$42)&amp;" "&amp;IF(ISBLANK(명단!$E$22),"",명단!$E$22)</x:f>
        <x:v xml:space="preserve">   </x:v>
      </x:c>
      <x:c r="G20" s="2"/>
      <x:c r="H20" s="2"/>
      <x:c r="I20" s="2"/>
      <x:c r="J20" s="2"/>
      <x:c r="K20" s="2"/>
      <x:c r="L20" s="2"/>
      <x:c r="M20" s="2"/>
    </x:row>
    <x:row r="21" spans="1:13">
      <x:c r="A21" s="7"/>
      <x:c r="B21" s="7"/>
      <x:c r="C21" s="2" t="s">
        <x:v>65</x:v>
      </x:c>
      <x:c r="D21" s="2" t="str">
        <x:f>IF(ISBLANK(명단!$C$16),"",명단!$C$16)&amp;" "&amp;IF(ISBLANK(명단!$C$38),"",명단!$C$38)&amp;" "&amp;IF(ISBLANK(명단!$C$45),"",명단!$C$45)&amp;" "&amp;IF(ISBLANK(명단!$C$46),"",명단!$C$46)&amp;" "&amp;IF(ISBLANK(명단!$E$38),"",명단!$E$38)&amp;" "&amp;IF(ISBLANK(명단!$E$50),"",명단!$E$50)</x:f>
        <x:v xml:space="preserve">     </x:v>
      </x:c>
      <x:c r="E21" s="2" t="str">
        <x:f>IF(ISBLANK(명단!$C$13),"",명단!$C$13)&amp;" "&amp;IF(ISBLANK(명단!$C$25),"",명단!$C$25)&amp;" "&amp;IF(ISBLANK(명단!$C$40),"",명단!$C$40)&amp;" "&amp;IF(ISBLANK(명단!$C$9),"",명단!$C$9)&amp;" "&amp;IF(ISBLANK(명단!$E$36),"",명단!$E$36)&amp;" "&amp;IF(ISBLANK(명단!$E$40),"",명단!$E$40)</x:f>
        <x:v xml:space="preserve">     </x:v>
      </x:c>
      <x:c r="F21" s="2" t="str">
        <x:f>IF(ISBLANK(명단!$C$24),"",명단!$C$24)&amp;" "&amp;IF(ISBLANK(명단!$C$34),"",명단!$C$34)&amp;" "&amp;IF(ISBLANK(명단!$C$41),"",명단!$C$41)&amp;" "&amp;IF(ISBLANK(명단!$C$11),"",명단!$C$11)&amp;" "&amp;IF(ISBLANK(명단!$E$39),"",명단!$E$39)&amp;" "&amp;IF(ISBLANK(명단!$E$6),"",명단!$E$6)</x:f>
        <x:v xml:space="preserve">     </x:v>
      </x:c>
      <x:c r="G21" s="2" t="str">
        <x:f>IF(ISBLANK(명단!$E$18),"",명단!$E$18)&amp;" "&amp;IF(ISBLANK(명단!$E$30),"",명단!$E$30)&amp;" "&amp;IF(ISBLANK(명단!$E$33),"",명단!$E$33)&amp;" "&amp;IF(ISBLANK(명단!$E$37),"",명단!$E$37)&amp;" "&amp;IF(ISBLANK(명단!$E$44),"",명단!$E$44)&amp;" "&amp;IF(ISBLANK(명단!$E$52),"",명단!$E$52)</x:f>
        <x:v xml:space="preserve">     </x:v>
      </x:c>
      <x:c r="H21" s="2"/>
      <x:c r="I21" s="2"/>
      <x:c r="J21" s="2"/>
      <x:c r="K21" s="2"/>
      <x:c r="L21" s="2"/>
      <x:c r="M21" s="2"/>
    </x:row>
    <x:row r="22" spans="1:13">
      <x:c r="A22" s="7"/>
      <x:c r="B22" s="7"/>
      <x:c r="C22" s="2" t="s">
        <x:v>58</x:v>
      </x:c>
      <x:c r="D22" s="2" t="str">
        <x:f>IF(ISBLANK(명단!$E$16),"",명단!$E$16)&amp;" "&amp;IF(ISBLANK(명단!$E$17),"",명단!$E$17)&amp;" "&amp;IF(ISBLANK(명단!$E$48),"",명단!$E$48)&amp;" "&amp;IF(ISBLANK(명단!$E$51),"",명단!$E$51)</x:f>
        <x:v xml:space="preserve">   </x:v>
      </x:c>
      <x:c r="E22" s="2" t="str">
        <x:f>IF(ISBLANK(명단!$E$25),"",명단!$E$25)&amp;" "&amp;IF(ISBLANK(명단!$E$29),"",명단!$E$29)&amp;" "&amp;IF(ISBLANK(명단!$E$45),"",명단!$E$45)&amp;" "&amp;IF(ISBLANK(명단!$E$8),"",명단!$E$8)</x:f>
        <x:v xml:space="preserve">   </x:v>
      </x:c>
      <x:c r="F22" s="2" t="str">
        <x:f>IF(ISBLANK(명단!$E$3),"",명단!$E$3)&amp;" "&amp;IF(ISBLANK(명단!$E$13),"",명단!$E$13)&amp;" "&amp;IF(ISBLANK(명단!$E$4),"",명단!$E$4)&amp;" "&amp;IF(ISBLANK(명단!$E$43),"",명단!$E$43)</x:f>
        <x:v xml:space="preserve">   </x:v>
      </x:c>
      <x:c r="G22" s="2"/>
      <x:c r="H22" s="2"/>
      <x:c r="I22" s="2"/>
      <x:c r="J22" s="2"/>
      <x:c r="K22" s="2"/>
      <x:c r="L22" s="2"/>
      <x:c r="M22" s="2"/>
    </x:row>
  </x:sheetData>
  <x:mergeCells count="6">
    <x:mergeCell ref="A2:A12"/>
    <x:mergeCell ref="B2:B6"/>
    <x:mergeCell ref="B7:B12"/>
    <x:mergeCell ref="A13:B16"/>
    <x:mergeCell ref="A17:B22"/>
    <x:mergeCell ref="A1:B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배치결과(원본)</vt:lpstr>
      <vt:lpstr>배치결과(분할_재배치)</vt:lpstr>
      <vt:lpstr>명단</vt:lpstr>
      <vt:lpstr>배치결과(이름)</vt:lpstr>
    </vt:vector>
  </ep:TitlesOfParts>
  <ep:TotalTime>128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jamco</cp:lastModifiedBy>
  <cp:revision>20</cp:revision>
  <dcterms:created xsi:type="dcterms:W3CDTF">2025-12-03T04:07:14.000</dcterms:created>
  <dcterms:modified xsi:type="dcterms:W3CDTF">2025-12-03T06:31:39.441</dcterms:modified>
  <cp:version>0906.0200.01</cp:version>
</cp:coreProperties>
</file>