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5365" windowHeight="17070"/>
  </x:bookViews>
  <x:sheets>
    <x:sheet name="배치결과" sheetId="1" r:id="rId4"/>
    <x:sheet name="명단" sheetId="2" r:id="rId5"/>
    <x:sheet name="배치결과_이름" sheetId="3" r:id="rId6"/>
    <x:sheet name="학생별배치요약" sheetId="4" r:id="rId7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jamco</x:author>
  </x:authors>
  <x:commentList>
    <x:comment ref="C74:C74" authorId="0">
      <x:text>
        <x:r>
          <x:rPr>
            <x:rFont val="Tahoma"/>
            <x:sz val="9"/>
            <x:color rgb="ff000000"/>
            <x:b val="1"/>
          </x:rPr>
          <x:t>user:</x:t>
        </x:r>
        <x:r>
          <x:rPr>
            <x:rFont val="Tahoma"/>
            <x:sz val="9"/>
            <x:color rgb="ff000000"/>
          </x:rPr>
          <x:t xml:space="preserve">
2</x:t>
        </x:r>
        <x:r>
          <x:rPr>
            <x:rFont val="돋움"/>
            <x:sz val="9"/>
            <x:color rgb="ff000000"/>
          </x:rPr>
          <x:t>학년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재수강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jamco</x:author>
  </x:authors>
  <x:commentList>
    <x:comment ref="C71:C71" authorId="0">
      <x:text>
        <x:r>
          <x:rPr>
            <x:rFont val="Tahoma"/>
            <x:sz val="9"/>
            <x:color rgb="ff000000"/>
            <x:b val="1"/>
          </x:rPr>
          <x:t>user:</x:t>
        </x:r>
        <x:r>
          <x:rPr>
            <x:rFont val="Tahoma"/>
            <x:sz val="9"/>
            <x:color rgb="ff000000"/>
          </x:rPr>
          <x:t xml:space="preserve">
2</x:t>
        </x:r>
        <x:r>
          <x:rPr>
            <x:rFont val="돋움"/>
            <x:sz val="9"/>
            <x:color rgb="ff000000"/>
          </x:rPr>
          <x:t>학년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재수강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<x:sst xmlns:r="http://schemas.openxmlformats.org/officeDocument/2006/relationships" xmlns:c="http://schemas.openxmlformats.org/drawingml/2006/chart" xmlns:x="http://schemas.openxmlformats.org/spreadsheetml/2006/main" count="744" uniqueCount="434">
  <x:si>
    <x:t>기간</x:t>
  </x:si>
  <x:si>
    <x:t>김성은 민보나 이희서 점서원 최민영</x:t>
  </x:si>
  <x:si>
    <x:t>문채원 이예은 신민준 임유진 김옥수</x:t>
  </x:si>
  <x:si>
    <x:t>안정민 이강희 정재경 이유진 김우겸</x:t>
  </x:si>
  <x:si>
    <x:t>박승민</x:t>
  </x:si>
  <x:si>
    <x:t>비고</x:t>
  </x:si>
  <x:si>
    <x:t>김지수</x:t>
  </x:si>
  <x:si>
    <x:t>박수인</x:t>
  </x:si>
  <x:si>
    <x:t>김진성</x:t>
  </x:si>
  <x:si>
    <x:t>하지혜</x:t>
  </x:si>
  <x:si>
    <x:t>김지연</x:t>
  </x:si>
  <x:si>
    <x:t>최은서</x:t>
  </x:si>
  <x:si>
    <x:t>김성은</x:t>
  </x:si>
  <x:si>
    <x:t>연제은</x:t>
  </x:si>
  <x:si>
    <x:t>학번</x:t>
  </x:si>
  <x:si>
    <x:t>김현서</x:t>
  </x:si>
  <x:si>
    <x:t>이강희</x:t>
  </x:si>
  <x:si>
    <x:t>윤지민</x:t>
  </x:si>
  <x:si>
    <x:t>정연주</x:t>
  </x:si>
  <x:si>
    <x:t>이름</x:t>
  </x:si>
  <x:si>
    <x:t>김민주</x:t>
  </x:si>
  <x:si>
    <x:t>김서현</x:t>
  </x:si>
  <x:si>
    <x:t>김주현</x:t>
  </x:si>
  <x:si>
    <x:t>송유나</x:t>
  </x:si>
  <x:si>
    <x:t>안정민</x:t>
  </x:si>
  <x:si>
    <x:t>이유진</x:t>
  </x:si>
  <x:si>
    <x:t>김단영</x:t>
  </x:si>
  <x:si>
    <x:t>임혜린</x:t>
  </x:si>
  <x:si>
    <x:t>최지은</x:t>
  </x:si>
  <x:si>
    <x:t>고나영</x:t>
  </x:si>
  <x:si>
    <x:t>권예은</x:t>
  </x:si>
  <x:si>
    <x:t>이예은</x:t>
  </x:si>
  <x:si>
    <x:t>구서현</x:t>
  </x:si>
  <x:si>
    <x:t>손예지</x:t>
  </x:si>
  <x:si>
    <x:t>정재경</x:t>
  </x:si>
  <x:si>
    <x:t>김단비</x:t>
  </x:si>
  <x:si>
    <x:t>신민준</x:t>
  </x:si>
  <x:si>
    <x:t>김나경</x:t>
  </x:si>
  <x:si>
    <x:t>권소연</x:t>
  </x:si>
  <x:si>
    <x:t>유리</x:t>
  </x:si>
  <x:si>
    <x:t>문채원</x:t>
  </x:si>
  <x:si>
    <x:t>민세은</x:t>
  </x:si>
  <x:si>
    <x:t>김예인</x:t>
  </x:si>
  <x:si>
    <x:t>김은지</x:t>
  </x:si>
  <x:si>
    <x:t>조민경</x:t>
  </x:si>
  <x:si>
    <x:t>이나영</x:t>
  </x:si>
  <x:si>
    <x:t>양채은</x:t>
  </x:si>
  <x:si>
    <x:t>백진우</x:t>
  </x:si>
  <x:si>
    <x:t>조채은</x:t>
  </x:si>
  <x:si>
    <x:t>이두리</x:t>
  </x:si>
  <x:si>
    <x:t>이민정</x:t>
  </x:si>
  <x:si>
    <x:t>최정미</x:t>
  </x:si>
  <x:si>
    <x:t>점서원</x:t>
  </x:si>
  <x:si>
    <x:t>최다연</x:t>
  </x:si>
  <x:si>
    <x:t>장해든</x:t>
  </x:si>
  <x:si>
    <x:t>김희연</x:t>
  </x:si>
  <x:si>
    <x:t>민보나</x:t>
  </x:si>
  <x:si>
    <x:t>안지수</x:t>
  </x:si>
  <x:si>
    <x:t>곽나연</x:t>
  </x:si>
  <x:si>
    <x:t>심병성</x:t>
  </x:si>
  <x:si>
    <x:t>이희서</x:t>
  </x:si>
  <x:si>
    <x:t>이수안</x:t>
  </x:si>
  <x:si>
    <x:t>주예진</x:t>
  </x:si>
  <x:si>
    <x:t>류지호</x:t>
  </x:si>
  <x:si>
    <x:t>노부경</x:t>
  </x:si>
  <x:si>
    <x:t>위인애</x:t>
  </x:si>
  <x:si>
    <x:t>박준서</x:t>
  </x:si>
  <x:si>
    <x:t>김은비</x:t>
  </x:si>
  <x:si>
    <x:t>최민영</x:t>
  </x:si>
  <x:si>
    <x:t>김우겸</x:t>
  </x:si>
  <x:si>
    <x:t>김옥수</x:t>
  </x:si>
  <x:si>
    <x:t>김성태</x:t>
  </x:si>
  <x:si>
    <x:t>권연우</x:t>
  </x:si>
  <x:si>
    <x:t>권세윤</x:t>
  </x:si>
  <x:si>
    <x:t>김보미</x:t>
  </x:si>
  <x:si>
    <x:t>임유진</x:t>
  </x:si>
  <x:si>
    <x:t>문성식</x:t>
  </x:si>
  <x:si>
    <x:t>김세윤</x:t>
  </x:si>
  <x:si>
    <x:t>김현진</x:t>
  </x:si>
  <x:si>
    <x:t>김성진</x:t>
  </x:si>
  <x:si>
    <x:t>박현정</x:t>
  </x:si>
  <x:si>
    <x:t>방수영</x:t>
  </x:si>
  <x:si>
    <x:t>유민우</x:t>
  </x:si>
  <x:si>
    <x:t>김하은</x:t>
  </x:si>
  <x:si>
    <x:t>송예원</x:t>
  </x:si>
  <x:si>
    <x:t>김윤하</x:t>
  </x:si>
  <x:si>
    <x:t>백규민</x:t>
  </x:si>
  <x:si>
    <x:t>이가영</x:t>
  </x:si>
  <x:si>
    <x:t>김재욱</x:t>
  </x:si>
  <x:si>
    <x:t>황재영</x:t>
  </x:si>
  <x:si>
    <x:t>권예은 백규민</x:t>
  </x:si>
  <x:si>
    <x:t>52W</x:t>
  </x:si>
  <x:si>
    <x:t>81W</x:t>
  </x:si>
  <x:si>
    <x:t>보라매</x:t>
  </x:si>
  <x:si>
    <x:t>61W</x:t>
  </x:si>
  <x:si>
    <x:t>82W</x:t>
  </x:si>
  <x:si>
    <x:t>삼성서울(15동)</x:t>
  </x:si>
  <x:si>
    <x:t>학생 이름</x:t>
  </x:si>
  <x:si>
    <x:t>원주세브란스기독</x:t>
  </x:si>
  <x:si>
    <x:t>B33</x:t>
  </x:si>
  <x:si>
    <x:t>B36</x:t>
  </x:si>
  <x:si>
    <x:t>B32</x:t>
  </x:si>
  <x:si>
    <x:t>B35</x:t>
  </x:si>
  <x:si>
    <x:t>B34</x:t>
  </x:si>
  <x:si>
    <x:t>B29</x:t>
  </x:si>
  <x:si>
    <x:t>B31</x:t>
  </x:si>
  <x:si>
    <x:t>B30</x:t>
  </x:si>
  <x:si>
    <x:t>B38</x:t>
  </x:si>
  <x:si>
    <x:t>B39</x:t>
  </x:si>
  <x:si>
    <x:t>B41</x:t>
  </x:si>
  <x:si>
    <x:t>B37</x:t>
  </x:si>
  <x:si>
    <x:t>B40</x:t>
  </x:si>
  <x:si>
    <x:t>서울부민</x:t>
  </x:si>
  <x:si>
    <x:t>중앙보훈병원</x:t>
  </x:si>
  <x:si>
    <x:t>삼성서울</x:t>
  </x:si>
  <x:si>
    <x:t>121W</x:t>
  </x:si>
  <x:si>
    <x:t>101W</x:t>
  </x:si>
  <x:si>
    <x:t>100W</x:t>
  </x:si>
  <x:si>
    <x:t>111W</x:t>
  </x:si>
  <x:si>
    <x:t>박승민 김성태</x:t>
  </x:si>
  <x:si>
    <x:t>문채원 김성태</x:t>
  </x:si>
  <x:si>
    <x:t>양채은 권세윤</x:t>
  </x:si>
  <x:si>
    <x:t>하지혜 권세윤</x:t>
  </x:si>
  <x:si>
    <x:t>B42</x:t>
  </x:si>
  <x:si>
    <x:t>손예지 노부경</x:t>
  </x:si>
  <x:si>
    <x:t>최대 인원 충족</x:t>
  </x:si>
  <x:si>
    <x:t>유민우 주예진 김보미 위인애 김윤하</x:t>
  </x:si>
  <x:si>
    <x:t>이예은 최다연</x:t>
  </x:si>
  <x:si>
    <x:t>유리 박현정</x:t>
  </x:si>
  <x:si>
    <x:t>윤지민 김현진</x:t>
  </x:si>
  <x:si>
    <x:t>유민우 윤지민</x:t>
  </x:si>
  <x:si>
    <x:t>이두리 김현진</x:t>
  </x:si>
  <x:si>
    <x:t>김하은 김성진</x:t>
  </x:si>
  <x:si>
    <x:t>정재경 하지혜</x:t>
  </x:si>
  <x:si>
    <x:t>김진성 김예인</x:t>
  </x:si>
  <x:si>
    <x:t>심병성 이가영</x:t>
  </x:si>
  <x:si>
    <x:t>김예인 안정민</x:t>
  </x:si>
  <x:si>
    <x:t>이강희 박현정</x:t>
  </x:si>
  <x:si>
    <x:t>최은서 황재영</x:t>
  </x:si>
  <x:si>
    <x:t>이가영 김희연</x:t>
  </x:si>
  <x:si>
    <x:t>김진성 민세은</x:t>
  </x:si>
  <x:si>
    <x:t>김은지 민세은</x:t>
  </x:si>
  <x:si>
    <x:t>이두리 최다연</x:t>
  </x:si>
  <x:si>
    <x:t>유리 김보미</x:t>
  </x:si>
  <x:si>
    <x:t>양채은 방수영</x:t>
  </x:si>
  <x:si>
    <x:t>김주현 김하은</x:t>
  </x:si>
  <x:si>
    <x:t>T6</x:t>
  </x:si>
  <x:si>
    <x:t>T2</x:t>
  </x:si>
  <x:si>
    <x:t>T5</x:t>
  </x:si>
  <x:si>
    <x:t>T3</x:t>
  </x:si>
  <x:si>
    <x:t>T4</x:t>
  </x:si>
  <x:si>
    <x:t>T1</x:t>
  </x:si>
  <x:si>
    <x:t>병원명</x:t>
  </x:si>
  <x:si>
    <x:t>A07</x:t>
  </x:si>
  <x:si>
    <x:t>A06</x:t>
  </x:si>
  <x:si>
    <x:t>A05</x:t>
  </x:si>
  <x:si>
    <x:t>A09</x:t>
  </x:si>
  <x:si>
    <x:t>A10</x:t>
  </x:si>
  <x:si>
    <x:t>A08</x:t>
  </x:si>
  <x:si>
    <x:t>A13</x:t>
  </x:si>
  <x:si>
    <x:t>A14</x:t>
  </x:si>
  <x:si>
    <x:t>A11</x:t>
  </x:si>
  <x:si>
    <x:t>A15</x:t>
  </x:si>
  <x:si>
    <x:t>A12</x:t>
  </x:si>
  <x:si>
    <x:t>A17</x:t>
  </x:si>
  <x:si>
    <x:t>A18</x:t>
  </x:si>
  <x:si>
    <x:t>A16</x:t>
  </x:si>
  <x:si>
    <x:t>A20</x:t>
  </x:si>
  <x:si>
    <x:t>A19</x:t>
  </x:si>
  <x:si>
    <x:t>A21</x:t>
  </x:si>
  <x:si>
    <x:t>A22</x:t>
  </x:si>
  <x:si>
    <x:t>A23</x:t>
  </x:si>
  <x:si>
    <x:t>A28</x:t>
  </x:si>
  <x:si>
    <x:t>A29</x:t>
  </x:si>
  <x:si>
    <x:t>A30</x:t>
  </x:si>
  <x:si>
    <x:t>A31</x:t>
  </x:si>
  <x:si>
    <x:t>A26</x:t>
  </x:si>
  <x:si>
    <x:t>A24</x:t>
  </x:si>
  <x:si>
    <x:t>A25</x:t>
  </x:si>
  <x:si>
    <x:t>A27</x:t>
  </x:si>
  <x:si>
    <x:t>번호</x:t>
  </x:si>
  <x:si>
    <x:t>5W</x:t>
  </x:si>
  <x:si>
    <x:t>A03</x:t>
  </x:si>
  <x:si>
    <x:t>A반</x:t>
  </x:si>
  <x:si>
    <x:t>A04</x:t>
  </x:si>
  <x:si>
    <x:t>A02</x:t>
  </x:si>
  <x:si>
    <x:t>A01</x:t>
  </x:si>
  <x:si>
    <x:t>15동</x:t>
  </x:si>
  <x:si>
    <x:t>과목명</x:t>
  </x:si>
  <x:si>
    <x:t>B04(내과1, 외과1)</x:t>
  </x:si>
  <x:si>
    <x:t>B15(내과1, 외과1)</x:t>
  </x:si>
  <x:si>
    <x:t>B18(내과1, 외과1)</x:t>
  </x:si>
  <x:si>
    <x:t>B21(내과1, 외과1)</x:t>
  </x:si>
  <x:si>
    <x:t>B11(내과1, 외과1)</x:t>
  </x:si>
  <x:si>
    <x:t>B14(내과1, 외과1)</x:t>
  </x:si>
  <x:si>
    <x:t>B27(내과1, 외과1)</x:t>
  </x:si>
  <x:si>
    <x:t>B24(내과1, 외과1)</x:t>
  </x:si>
  <x:si>
    <x:t>B31(내과1, 외과1)</x:t>
  </x:si>
  <x:si>
    <x:t>B33(내과1, 외과1)</x:t>
  </x:si>
  <x:si>
    <x:t>B26(내과1, 외과1)</x:t>
  </x:si>
  <x:si>
    <x:t>B25(내과1, 외과1)</x:t>
  </x:si>
  <x:si>
    <x:t>B30(내과1, 외과1)</x:t>
  </x:si>
  <x:si>
    <x:t>B34(내과1, 외과1)</x:t>
  </x:si>
  <x:si>
    <x:t>B38(내과1, 외과1)</x:t>
  </x:si>
  <x:si>
    <x:t>B37(내과1, 외과1)</x:t>
  </x:si>
  <x:si>
    <x:t>B35(내과1, 외과1)</x:t>
  </x:si>
  <x:si>
    <x:t>B41(내과1, 외과1)</x:t>
  </x:si>
  <x:si>
    <x:t>B39(내과1, 외과1)</x:t>
  </x:si>
  <x:si>
    <x:t>박수인 연제은 정연주 조민경</x:t>
  </x:si>
  <x:si>
    <x:t>김세윤 박수인 최정미 김지수</x:t>
  </x:si>
  <x:si>
    <x:t>김단비 김민주 송유나</x:t>
  </x:si>
  <x:si>
    <x:t>송예원 연제은 이민정</x:t>
  </x:si>
  <x:si>
    <x:t>A01 A08</x:t>
  </x:si>
  <x:si>
    <x:t>A02 A27</x:t>
  </x:si>
  <x:si>
    <x:t>B05 B22</x:t>
  </x:si>
  <x:si>
    <x:t>B16 B26</x:t>
  </x:si>
  <x:si>
    <x:t>B04 B36</x:t>
  </x:si>
  <x:si>
    <x:t>B15 B33</x:t>
  </x:si>
  <x:si>
    <x:t>A26 A32</x:t>
  </x:si>
  <x:si>
    <x:t>A19 A37</x:t>
  </x:si>
  <x:si>
    <x:t>B09 B28</x:t>
  </x:si>
  <x:si>
    <x:t>B08 B12</x:t>
  </x:si>
  <x:si>
    <x:t>B02 B12</x:t>
  </x:si>
  <x:si>
    <x:t>A07 A16</x:t>
  </x:si>
  <x:si>
    <x:t>B27 B41</x:t>
  </x:si>
  <x:si>
    <x:t>A03 A21</x:t>
  </x:si>
  <x:si>
    <x:t>A14 A35</x:t>
  </x:si>
  <x:si>
    <x:t>B05 B23</x:t>
  </x:si>
  <x:si>
    <x:t>B03 B06</x:t>
  </x:si>
  <x:si>
    <x:t>A01 A30</x:t>
  </x:si>
  <x:si>
    <x:t>B28 B35</x:t>
  </x:si>
  <x:si>
    <x:t>B16 B29</x:t>
  </x:si>
  <x:si>
    <x:t>A12 A28</x:t>
  </x:si>
  <x:si>
    <x:t>B32 B36</x:t>
  </x:si>
  <x:si>
    <x:t>A03 A27</x:t>
  </x:si>
  <x:si>
    <x:t>A10 A17</x:t>
  </x:si>
  <x:si>
    <x:t>B01 B17</x:t>
  </x:si>
  <x:si>
    <x:t>B13 B42</x:t>
  </x:si>
  <x:si>
    <x:t>A04 A24</x:t>
  </x:si>
  <x:si>
    <x:t>A14 A41</x:t>
  </x:si>
  <x:si>
    <x:t>A06 A16</x:t>
  </x:si>
  <x:si>
    <x:t>B20 B22</x:t>
  </x:si>
  <x:si>
    <x:t>A04 A31</x:t>
  </x:si>
  <x:si>
    <x:t>A09 A32</x:t>
  </x:si>
  <x:si>
    <x:t>A33 A40</x:t>
  </x:si>
  <x:si>
    <x:t>B15 B41</x:t>
  </x:si>
  <x:si>
    <x:t>A02 A13</x:t>
  </x:si>
  <x:si>
    <x:t>B02 B07</x:t>
  </x:si>
  <x:si>
    <x:t>B06 B10</x:t>
  </x:si>
  <x:si>
    <x:t>A22 A39</x:t>
  </x:si>
  <x:si>
    <x:t>A05 A38</x:t>
  </x:si>
  <x:si>
    <x:t>B19 B40</x:t>
  </x:si>
  <x:si>
    <x:t>B25 B27</x:t>
  </x:si>
  <x:si>
    <x:t>B17 B23</x:t>
  </x:si>
  <x:si>
    <x:t>B07 B14</x:t>
  </x:si>
  <x:si>
    <x:t>B18 B29</x:t>
  </x:si>
  <x:si>
    <x:t>A13 A35</x:t>
  </x:si>
  <x:si>
    <x:t>학생 ID</x:t>
  </x:si>
  <x:si>
    <x:t>B31 B40</x:t>
  </x:si>
  <x:si>
    <x:t>B08 B37</x:t>
  </x:si>
  <x:si>
    <x:t>B11 B42</x:t>
  </x:si>
  <x:si>
    <x:t>A05 A06</x:t>
  </x:si>
  <x:si>
    <x:t>A11 A24</x:t>
  </x:si>
  <x:si>
    <x:t>구서현 송유나</x:t>
  </x:si>
  <x:si>
    <x:t>곽나연 임혜린</x:t>
  </x:si>
  <x:si>
    <x:t>김단비 류지호</x:t>
  </x:si>
  <x:si>
    <x:t>고나영 김단영</x:t>
  </x:si>
  <x:si>
    <x:t>김민주 조채은</x:t>
  </x:si>
  <x:si>
    <x:t>고나영 정연주</x:t>
  </x:si>
  <x:si>
    <x:t>곽나연 김지수</x:t>
  </x:si>
  <x:si>
    <x:t>이희서 조채은</x:t>
  </x:si>
  <x:si>
    <x:t>권소연 이나영</x:t>
  </x:si>
  <x:si>
    <x:t>김세윤 장해든</x:t>
  </x:si>
  <x:si>
    <x:t>김나경 류지호</x:t>
  </x:si>
  <x:si>
    <x:t>김지연 최지은</x:t>
  </x:si>
  <x:si>
    <x:t>구서현 임혜린</x:t>
  </x:si>
  <x:si>
    <x:t>김지수 최지은</x:t>
  </x:si>
  <x:si>
    <x:t>권소연 조민경</x:t>
  </x:si>
  <x:si>
    <x:t>권예은 김나경</x:t>
  </x:si>
  <x:si>
    <x:t>김서현 민보나</x:t>
  </x:si>
  <x:si>
    <x:t>김성은 이나영</x:t>
  </x:si>
  <x:si>
    <x:t>중앙보훈병원(81W)</x:t>
  </x:si>
  <x:si>
    <x:t>보라매(82W)</x:t>
  </x:si>
  <x:si>
    <x:t>보라매(61W)</x:t>
  </x:si>
  <x:si>
    <x:t>서울부민(5W)</x:t>
  </x:si>
  <x:si>
    <x:t>안지수 김재욱</x:t>
  </x:si>
  <x:si>
    <x:t>김지연 최민영</x:t>
  </x:si>
  <x:si>
    <x:t>백진우 문성식</x:t>
  </x:si>
  <x:si>
    <x:t>권연우 문성식</x:t>
  </x:si>
  <x:si>
    <x:t>백진우 박승민 김옥수</x:t>
  </x:si>
  <x:si>
    <x:t>신민준 김성진 김윤하</x:t>
  </x:si>
  <x:si>
    <x:t>김단영 김서현 김현서 송예원 이민정</x:t>
  </x:si>
  <x:si>
    <x:t>A01(내과1, 내과&amp;외과1)</x:t>
  </x:si>
  <x:si>
    <x:t>A03(외과1, 내과&amp;외과1)</x:t>
  </x:si>
  <x:si>
    <x:t>A08 A10 A15 A20 A25</x:t>
  </x:si>
  <x:si>
    <x:t>A02(내과1, 내과&amp;외과1)</x:t>
  </x:si>
  <x:si>
    <x:t>A11 A17 A26 A29 A41</x:t>
  </x:si>
  <x:si>
    <x:t>B14 B18 B25 B30 B37</x:t>
  </x:si>
  <x:si>
    <x:t>A06(내과1, 내과&amp;외과1)</x:t>
  </x:si>
  <x:si>
    <x:t>A30(외과1, 내과&amp;외과1)</x:t>
  </x:si>
  <x:si>
    <x:t>A38(내과1, 내과&amp;외과1)</x:t>
  </x:si>
  <x:si>
    <x:t>B02(내과1, 내과&amp;외과1)</x:t>
  </x:si>
  <x:si>
    <x:t>A22(내과1, 내과&amp;외과1)</x:t>
  </x:si>
  <x:si>
    <x:t>B06(외과1, 내과&amp;외과1)</x:t>
  </x:si>
  <x:si>
    <x:t>B08(내과1, 내과&amp;외과1)</x:t>
  </x:si>
  <x:si>
    <x:t>A27(내과1, 내과&amp;외과1)</x:t>
  </x:si>
  <x:si>
    <x:t>B09(외과1, 내과&amp;외과1)</x:t>
  </x:si>
  <x:si>
    <x:t>B11 B20 B24 B34 B38</x:t>
  </x:si>
  <x:si>
    <x:t>A35(내과1, 내과&amp;외과1)</x:t>
  </x:si>
  <x:si>
    <x:t>A39(내과1, 내과&amp;외과1)</x:t>
  </x:si>
  <x:si>
    <x:t>A09(내과1, 내과&amp;외과1)</x:t>
  </x:si>
  <x:si>
    <x:t>B01(외과1, 내과&amp;외과1)</x:t>
  </x:si>
  <x:si>
    <x:t>B07(내과1, 내과&amp;외과1)</x:t>
  </x:si>
  <x:si>
    <x:t>B16(내과1, 내과&amp;외과1)</x:t>
  </x:si>
  <x:si>
    <x:t>B10(외과1, 내과&amp;외과1)</x:t>
  </x:si>
  <x:si>
    <x:t>B17(내과1, 내과&amp;외과1)</x:t>
  </x:si>
  <x:si>
    <x:t>A05(내과1, 내과&amp;외과1)</x:t>
  </x:si>
  <x:si>
    <x:t>A16(외과1, 내과&amp;외과1)</x:t>
  </x:si>
  <x:si>
    <x:t>B05(내과1, 내과&amp;외과1)</x:t>
  </x:si>
  <x:si>
    <x:t>B13(내과1, 내과&amp;외과1)</x:t>
  </x:si>
  <x:si>
    <x:t>A13(내과1, 내과&amp;외과1)</x:t>
  </x:si>
  <x:si>
    <x:t>A32(내과1, 내과&amp;외과1)</x:t>
  </x:si>
  <x:si>
    <x:t>A04(내과1, 내과&amp;외과1)</x:t>
  </x:si>
  <x:si>
    <x:t>B12(내과1, 내과&amp;외과1)</x:t>
  </x:si>
  <x:si>
    <x:t>B19(외과1, 내과&amp;외과1)</x:t>
  </x:si>
  <x:si>
    <x:t>B01 B21 B26 B31 B39</x:t>
  </x:si>
  <x:si>
    <x:t>A14(내과1, 내과&amp;외과1)</x:t>
  </x:si>
  <x:si>
    <x:t>A24(내과1, 내과&amp;외과1)</x:t>
  </x:si>
  <x:si>
    <x:t>B42(내과1, 내과&amp;외과1)</x:t>
  </x:si>
  <x:si>
    <x:t>B22(내과1, 내과&amp;외과1)</x:t>
  </x:si>
  <x:si>
    <x:t>B40(내과1, 내과&amp;외과1)</x:t>
  </x:si>
  <x:si>
    <x:t>B32(내과1, 내과&amp;외과1)</x:t>
  </x:si>
  <x:si>
    <x:t>B23(내과1, 내과&amp;외과1)</x:t>
  </x:si>
  <x:si>
    <x:t>B28(외과1, 내과&amp;외과1)</x:t>
  </x:si>
  <x:si>
    <x:t>B29(내과1, 내과&amp;외과1)</x:t>
  </x:si>
  <x:si>
    <x:t>B36(외과1, 내과&amp;외과1)</x:t>
  </x:si>
  <x:si>
    <x:t>B20(외과1, 내과&amp;외과1)</x:t>
  </x:si>
  <x:si>
    <x:t>B11</x:t>
  </x:si>
  <x:si>
    <x:t>B12</x:t>
  </x:si>
  <x:si>
    <x:t>B17</x:t>
  </x:si>
  <x:si>
    <x:t>B13</x:t>
  </x:si>
  <x:si>
    <x:t>B16</x:t>
  </x:si>
  <x:si>
    <x:t>B19</x:t>
  </x:si>
  <x:si>
    <x:t>B20</x:t>
  </x:si>
  <x:si>
    <x:t>B14</x:t>
  </x:si>
  <x:si>
    <x:t>B18</x:t>
  </x:si>
  <x:si>
    <x:t>B15</x:t>
  </x:si>
  <x:si>
    <x:t>B25</x:t>
  </x:si>
  <x:si>
    <x:t>B26</x:t>
  </x:si>
  <x:si>
    <x:t>B27</x:t>
  </x:si>
  <x:si>
    <x:t>B22</x:t>
  </x:si>
  <x:si>
    <x:t>B24</x:t>
  </x:si>
  <x:si>
    <x:t>B23</x:t>
  </x:si>
  <x:si>
    <x:t>B21</x:t>
  </x:si>
  <x:si>
    <x:t>A32</x:t>
  </x:si>
  <x:si>
    <x:t>B반</x:t>
  </x:si>
  <x:si>
    <x:t>A36</x:t>
  </x:si>
  <x:si>
    <x:t>A35</x:t>
  </x:si>
  <x:si>
    <x:t>A34</x:t>
  </x:si>
  <x:si>
    <x:t>A33</x:t>
  </x:si>
  <x:si>
    <x:t>A37</x:t>
  </x:si>
  <x:si>
    <x:t>A39</x:t>
  </x:si>
  <x:si>
    <x:t>A40</x:t>
  </x:si>
  <x:si>
    <x:t>B28</x:t>
  </x:si>
  <x:si>
    <x:t>B01</x:t>
  </x:si>
  <x:si>
    <x:t>A41</x:t>
  </x:si>
  <x:si>
    <x:t>A42</x:t>
  </x:si>
  <x:si>
    <x:t>A38</x:t>
  </x:si>
  <x:si>
    <x:t>B02</x:t>
  </x:si>
  <x:si>
    <x:t>B03</x:t>
  </x:si>
  <x:si>
    <x:t>B04</x:t>
  </x:si>
  <x:si>
    <x:t>B05</x:t>
  </x:si>
  <x:si>
    <x:t>B06</x:t>
  </x:si>
  <x:si>
    <x:t>B07</x:t>
  </x:si>
  <x:si>
    <x:t>B10</x:t>
  </x:si>
  <x:si>
    <x:t>B09</x:t>
  </x:si>
  <x:si>
    <x:t>B08</x:t>
  </x:si>
  <x:si>
    <x:t>최정미 김지수 박준서</x:t>
  </x:si>
  <x:si>
    <x:t>김주현 김희연 이수안</x:t>
  </x:si>
  <x:si>
    <x:t>심병성 주예진 방수영</x:t>
  </x:si>
  <x:si>
    <x:t>이유진 권연우 임유진</x:t>
  </x:si>
  <x:si>
    <x:t>안지수 백규민 김재욱</x:t>
  </x:si>
  <x:si>
    <x:t>A28(내과1, 외과1)</x:t>
  </x:si>
  <x:si>
    <x:t>A25(내과1, 외과1)</x:t>
  </x:si>
  <x:si>
    <x:t>A26(내과1, 외과1)</x:t>
  </x:si>
  <x:si>
    <x:t>A29(내과1, 외과1)</x:t>
  </x:si>
  <x:si>
    <x:t>A31(내과1, 외과1)</x:t>
  </x:si>
  <x:si>
    <x:t>A23(내과1, 외과1)</x:t>
  </x:si>
  <x:si>
    <x:t>A33(내과1, 외과1)</x:t>
  </x:si>
  <x:si>
    <x:t>A18 A23 A30 A31</x:t>
  </x:si>
  <x:si>
    <x:t>A28 A29 A33 A40</x:t>
  </x:si>
  <x:si>
    <x:t>A15 A19 A37 A42</x:t>
  </x:si>
  <x:si>
    <x:t>A12 A18 A34 A36</x:t>
  </x:si>
  <x:si>
    <x:t>A36(내과1, 외과1)</x:t>
  </x:si>
  <x:si>
    <x:t>A34(내과1, 외과1)</x:t>
  </x:si>
  <x:si>
    <x:t>A37(내과1, 외과1)</x:t>
  </x:si>
  <x:si>
    <x:t>A42(내과1, 외과1)</x:t>
  </x:si>
  <x:si>
    <x:t>B03(내과1, 외과1)</x:t>
  </x:si>
  <x:si>
    <x:t>A40(내과1, 외과1)</x:t>
  </x:si>
  <x:si>
    <x:t>A41(내과1, 외과1)</x:t>
  </x:si>
  <x:si>
    <x:t>원주세브란스기독(101W)</x:t>
  </x:si>
  <x:si>
    <x:t>원주세브란스기독(82W)</x:t>
  </x:si>
  <x:si>
    <x:t>중앙보훈병원(121W)</x:t>
  </x:si>
  <x:si>
    <x:t>중앙보훈병원(100W)</x:t>
  </x:si>
  <x:si>
    <x:t>원주세브란스기독(61W)</x:t>
  </x:si>
  <x:si>
    <x:t>A07(내과1, 외과1)</x:t>
  </x:si>
  <x:si>
    <x:t>중앙보훈병원(111W)</x:t>
  </x:si>
  <x:si>
    <x:t>A08(내과1, 외과1)</x:t>
  </x:si>
  <x:si>
    <x:t>A12(내과1, 외과1)</x:t>
  </x:si>
  <x:si>
    <x:t>A17(내과1, 외과1)</x:t>
  </x:si>
  <x:si>
    <x:t>A20(내과1, 외과1)</x:t>
  </x:si>
  <x:si>
    <x:t>A18(내과1, 외과1)</x:t>
  </x:si>
  <x:si>
    <x:t>A21(내과1, 외과1)</x:t>
  </x:si>
  <x:si>
    <x:t>A10(내과1, 외과1)</x:t>
  </x:si>
  <x:si>
    <x:t>A19(내과1, 외과1)</x:t>
  </x:si>
  <x:si>
    <x:t>A11(내과1, 외과1)</x:t>
  </x:si>
  <x:si>
    <x:t>원주세브란스기독(52W)</x:t>
  </x:si>
  <x:si>
    <x:t>A15(내과1, 외과1)</x:t>
  </x:si>
  <x:si>
    <x:t>복학예정자</x:t>
  </x:si>
  <x:si>
    <x:t>김은지 김우겸</x:t>
  </x:si>
  <x:si>
    <x:t>위인애 김은비</x:t>
  </x:si>
  <x:si>
    <x:t>이수안 김은비</x:t>
  </x:si>
  <x:si>
    <x:t>A20 A23 A25</x:t>
  </x:si>
  <x:si>
    <x:t>B30 B32 B34</x:t>
  </x:si>
  <x:si>
    <x:t>A07 A09 A21</x:t>
  </x:si>
  <x:si>
    <x:t>B24 B35 B39</x:t>
  </x:si>
  <x:si>
    <x:t>B03 B21 B33</x:t>
  </x:si>
  <x:si>
    <x:t>B09 B10 B19</x:t>
  </x:si>
  <x:si>
    <x:t>B04 B13 B38</x:t>
  </x:si>
  <x:si>
    <x:t>A22 A38 A39</x:t>
  </x:si>
  <x:si>
    <x:t>A34 A36 A42</x:t>
  </x:si>
  <x:si>
    <x:t>학생 학번</x:t>
  </x:si>
  <x:si>
    <x:t>장해든 점서원 최은서 황재영</x:t>
  </x:si>
  <x:si>
    <x:t>김현서 손예지 노부경 박준서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</x:si>
</x:sst>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  <x:fill>
      <x:patternFill patternType="solid">
        <x:fgColor rgb="ffffffe0"/>
        <x:bgColor rgb="ffffffe0"/>
      </x:patternFill>
    </x:fill>
    <x:fill>
      <x:patternFill patternType="solid">
        <x:fgColor rgb="ffe6f3ff"/>
        <x:bgColor rgb="ffe6f3ff"/>
      </x:patternFill>
    </x:fill>
    <x:fill>
      <x:patternFill patternType="solid">
        <x:fgColor rgb="ffffe6f3"/>
        <x:bgColor rgb="ffffe6f3"/>
      </x:patternFill>
    </x:fill>
    <x:fill>
      <x:patternFill patternType="solid">
        <x:fgColor rgb="fffff7cc"/>
      </x:patternFill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7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</x:cellStyleXfs>
  <x:cellXfs count="21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Alignment="1">
          <x:alignment horizontal="center" vertical="center"/>
        </x:xf>
      </mc:Fallback>
    </mc:AlternateContent>
    <x:xf numFmtId="0" fontId="0" fillId="3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4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0" applyAlignment="1">
          <x:alignment horizontal="center" vertical="center"/>
        </x:xf>
      </mc:Fallback>
    </mc:AlternateContent>
    <x:xf numFmtId="0" fontId="0" fillId="0" borderId="0" xfId="0" applyFill="1">
      <x:alignment horizontal="general" vertical="bottom"/>
    </x:xf>
    <x:xf numFmtId="0" fontId="0" fillId="6" borderId="0" xfId="0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6" borderId="0" xfId="0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0" xfId="0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16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16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16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16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4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Font="1" applyAlignment="1">
          <x:alignment horizontal="center" vertical="center"/>
        </x:xf>
      </mc:Fallback>
    </mc:AlternateContent>
    <x:xf numFmtId="0" fontId="0" fillId="0" borderId="0" xfId="0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0" applyFont="1" applyAlignment="1">
          <x:alignment horizontal="center" vertical="center"/>
        </x:xf>
      </mc:Fallback>
    </mc:AlternateContent>
  </x:cellXfs>
  <x:cellStyles count="2">
    <x:cellStyle xfId="0" builtinId="0"/>
    <x:cellStyle xfId="16" builtinId="6" iLevel="0"/>
  </x:cellStyles>
  <x:dxfs count="19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5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6.32421875" bestFit="1" customWidth="1"/>
    <x:col min="2" max="2" width="7.2109375" bestFit="1" customWidth="1"/>
    <x:col min="3" max="3" width="16.1953125" bestFit="1" customWidth="1"/>
    <x:col min="4" max="5" width="20.12109375" bestFit="1" customWidth="1"/>
    <x:col min="6" max="8" width="19.48828125" bestFit="1" customWidth="1"/>
  </x:cols>
  <x:sheetData>
    <x:row r="1" spans="1:8">
      <x:c r="A1" s="1" t="s">
        <x:v>188</x:v>
      </x:c>
      <x:c r="B1" s="1" t="s">
        <x:v>152</x:v>
      </x:c>
      <x:c r="C1" s="1" t="s">
        <x:v>151</x:v>
      </x:c>
      <x:c r="D1" s="1" t="s">
        <x:v>147</x:v>
      </x:c>
      <x:c r="E1" s="1" t="s">
        <x:v>149</x:v>
      </x:c>
      <x:c r="F1" s="1" t="s">
        <x:v>150</x:v>
      </x:c>
      <x:c r="G1" s="1" t="s">
        <x:v>148</x:v>
      </x:c>
      <x:c r="H1" s="1" t="s">
        <x:v>146</x:v>
      </x:c>
    </x:row>
    <x:row r="2" spans="1:8">
      <x:c r="A2" t="s">
        <x:v>112</x:v>
      </x:c>
      <x:c r="B2" t="s">
        <x:v>181</x:v>
      </x:c>
      <x:c r="C2" s="5" t="s">
        <x:v>389</x:v>
      </x:c>
      <x:c r="D2" s="6" t="s">
        <x:v>296</x:v>
      </x:c>
      <x:c r="E2" s="6" t="s">
        <x:v>294</x:v>
      </x:c>
      <x:c r="F2" s="6" t="s">
        <x:v>297</x:v>
      </x:c>
      <x:c r="G2" s="6" t="s">
        <x:v>307</x:v>
      </x:c>
      <x:c r="H2" s="6" t="s">
        <x:v>325</x:v>
      </x:c>
    </x:row>
    <x:row r="3" spans="1:8">
      <x:c r="A3" t="s">
        <x:v>114</x:v>
      </x:c>
      <x:c r="B3" t="s">
        <x:v>187</x:v>
      </x:c>
      <x:c r="C3" s="5"/>
      <x:c r="D3" s="5"/>
      <x:c r="E3" s="5"/>
      <x:c r="F3" s="6" t="s">
        <x:v>220</x:v>
      </x:c>
      <x:c r="G3" s="6" t="s">
        <x:v>221</x:v>
      </x:c>
      <x:c r="H3" s="5"/>
    </x:row>
    <x:row r="4" spans="1:8">
      <x:c r="A4" t="s">
        <x:v>93</x:v>
      </x:c>
      <x:c r="B4" t="s">
        <x:v>95</x:v>
      </x:c>
      <x:c r="C4" s="6" t="s">
        <x:v>212</x:v>
      </x:c>
      <x:c r="D4" s="6" t="s">
        <x:v>213</x:v>
      </x:c>
      <x:c r="E4" s="6" t="s">
        <x:v>218</x:v>
      </x:c>
      <x:c r="F4" s="6" t="s">
        <x:v>214</x:v>
      </x:c>
      <x:c r="G4" s="6" t="s">
        <x:v>215</x:v>
      </x:c>
      <x:c r="H4" s="6" t="s">
        <x:v>222</x:v>
      </x:c>
    </x:row>
    <x:row r="5" spans="1:8">
      <x:c r="A5" t="s">
        <x:v>93</x:v>
      </x:c>
      <x:c r="B5" t="s">
        <x:v>94</x:v>
      </x:c>
      <x:c r="C5" s="6" t="s">
        <x:v>223</x:v>
      </x:c>
      <x:c r="D5" s="6" t="s">
        <x:v>225</x:v>
      </x:c>
      <x:c r="E5" s="6" t="s">
        <x:v>219</x:v>
      </x:c>
      <x:c r="F5" s="6" t="s">
        <x:v>217</x:v>
      </x:c>
      <x:c r="G5" s="6" t="s">
        <x:v>224</x:v>
      </x:c>
      <x:c r="H5" s="6" t="s">
        <x:v>216</x:v>
      </x:c>
    </x:row>
    <x:row r="6" spans="1:8">
      <x:c r="A6" t="s">
        <x:v>98</x:v>
      </x:c>
      <x:c r="B6" t="s">
        <x:v>116</x:v>
      </x:c>
      <x:c r="C6" s="5" t="s">
        <x:v>243</x:v>
      </x:c>
      <x:c r="D6" s="5" t="s">
        <x:v>229</x:v>
      </x:c>
      <x:c r="E6" s="5" t="s">
        <x:v>250</x:v>
      </x:c>
      <x:c r="F6" s="5" t="s">
        <x:v>251</x:v>
      </x:c>
      <x:c r="G6" s="5" t="s">
        <x:v>233</x:v>
      </x:c>
      <x:c r="H6" s="5" t="s">
        <x:v>248</x:v>
      </x:c>
    </x:row>
    <x:row r="7" spans="1:8">
      <x:c r="A7" t="s">
        <x:v>98</x:v>
      </x:c>
      <x:c r="B7" t="s">
        <x:v>91</x:v>
      </x:c>
      <x:c r="C7" s="6" t="s">
        <x:v>391</x:v>
      </x:c>
      <x:c r="D7" s="6" t="s">
        <x:v>392</x:v>
      </x:c>
      <x:c r="E7" s="6" t="s">
        <x:v>390</x:v>
      </x:c>
      <x:c r="F7" s="5" t="s">
        <x:v>425</x:v>
      </x:c>
      <x:c r="G7" s="5" t="s">
        <x:v>426</x:v>
      </x:c>
      <x:c r="H7" s="5" t="s">
        <x:v>245</x:v>
      </x:c>
    </x:row>
    <x:row r="8" spans="1:8">
      <x:c r="A8" t="s">
        <x:v>98</x:v>
      </x:c>
      <x:c r="B8" t="s">
        <x:v>94</x:v>
      </x:c>
      <x:c r="C8" s="5" t="s">
        <x:v>246</x:v>
      </x:c>
      <x:c r="D8" s="5" t="s">
        <x:v>240</x:v>
      </x:c>
      <x:c r="E8" s="5" t="s">
        <x:v>226</x:v>
      </x:c>
      <x:c r="F8" s="5" t="s">
        <x:v>247</x:v>
      </x:c>
      <x:c r="G8" s="5" t="s">
        <x:v>236</x:v>
      </x:c>
      <x:c r="H8" s="5" t="s">
        <x:v>237</x:v>
      </x:c>
    </x:row>
    <x:row r="9" spans="1:8">
      <x:c r="A9" t="s">
        <x:v>98</x:v>
      </x:c>
      <x:c r="B9" t="s">
        <x:v>95</x:v>
      </x:c>
      <x:c r="C9" s="5" t="s">
        <x:v>234</x:v>
      </x:c>
      <x:c r="D9" s="5" t="s">
        <x:v>238</x:v>
      </x:c>
      <x:c r="E9" s="5" t="s">
        <x:v>249</x:v>
      </x:c>
      <x:c r="F9" s="5" t="s">
        <x:v>231</x:v>
      </x:c>
      <x:c r="G9" s="5" t="s">
        <x:v>227</x:v>
      </x:c>
      <x:c r="H9" s="5" t="s">
        <x:v>241</x:v>
      </x:c>
    </x:row>
    <x:row r="10" spans="1:8">
      <x:c r="A10" t="s">
        <x:v>113</x:v>
      </x:c>
      <x:c r="B10" t="s">
        <x:v>92</x:v>
      </x:c>
      <x:c r="C10" s="5" t="s">
        <x:v>232</x:v>
      </x:c>
      <x:c r="D10" s="6" t="s">
        <x:v>244</x:v>
      </x:c>
      <x:c r="E10" s="6" t="s">
        <x:v>430</x:v>
      </x:c>
      <x:c r="F10" s="6" t="s">
        <x:v>228</x:v>
      </x:c>
      <x:c r="G10" s="6" t="s">
        <x:v>427</x:v>
      </x:c>
      <x:c r="H10" s="6" t="s">
        <x:v>230</x:v>
      </x:c>
    </x:row>
    <x:row r="11" spans="1:8">
      <x:c r="A11" t="s">
        <x:v>113</x:v>
      </x:c>
      <x:c r="B11" t="s">
        <x:v>117</x:v>
      </x:c>
      <x:c r="C11" s="6" t="s">
        <x:v>235</x:v>
      </x:c>
      <x:c r="D11" s="6" t="s">
        <x:v>429</x:v>
      </x:c>
      <x:c r="E11" s="6" t="s">
        <x:v>242</x:v>
      </x:c>
      <x:c r="F11" s="6" t="s">
        <x:v>428</x:v>
      </x:c>
      <x:c r="G11" s="6" t="s">
        <x:v>258</x:v>
      </x:c>
      <x:c r="H11" s="5" t="s">
        <x:v>252</x:v>
      </x:c>
    </x:row>
    <x:row r="12" spans="1:8">
      <x:c r="A12" t="s">
        <x:v>113</x:v>
      </x:c>
      <x:c r="B12" t="s">
        <x:v>118</x:v>
      </x:c>
      <x:c r="C12" s="5" t="s">
        <x:v>239</x:v>
      </x:c>
      <x:c r="D12" s="6" t="s">
        <x:v>256</x:v>
      </x:c>
      <x:c r="E12" s="6" t="s">
        <x:v>424</x:v>
      </x:c>
      <x:c r="F12" s="6" t="s">
        <x:v>253</x:v>
      </x:c>
      <x:c r="G12" s="5" t="s">
        <x:v>254</x:v>
      </x:c>
      <x:c r="H12" s="6" t="s">
        <x:v>259</x:v>
      </x:c>
    </x:row>
    <x:row r="13" spans="1:8">
      <x:c r="A13" t="s">
        <x:v>113</x:v>
      </x:c>
      <x:c r="B13" t="s">
        <x:v>115</x:v>
      </x:c>
      <x:c r="C13" s="6" t="s">
        <x:v>261</x:v>
      </x:c>
      <x:c r="D13" s="6" t="s">
        <x:v>422</x:v>
      </x:c>
      <x:c r="E13" s="6" t="s">
        <x:v>262</x:v>
      </x:c>
      <x:c r="F13" s="5" t="s">
        <x:v>260</x:v>
      </x:c>
      <x:c r="G13" s="6" t="s">
        <x:v>255</x:v>
      </x:c>
      <x:c r="H13" s="6" t="s">
        <x:v>423</x:v>
      </x:c>
    </x:row>
    <x:row r="15" spans="8:8">
      <x:c r="H15" s="7" t="s">
        <x:v>125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89"/>
  <x:sheetViews>
    <x:sheetView topLeftCell="A1" zoomScaleNormal="100" zoomScaleSheetLayoutView="75" workbookViewId="0">
      <x:selection activeCell="C89" activeCellId="0" sqref="C89:C89"/>
    </x:sheetView>
  </x:sheetViews>
  <x:sheetFormatPr defaultColWidth="9.00390625" defaultRowHeight="16.399999999999999"/>
  <x:cols>
    <x:col min="1" max="1" width="10" style="8" customWidth="1"/>
    <x:col min="2" max="3" width="15" style="8" customWidth="1"/>
    <x:col min="4" max="4" width="9.00390625" style="8"/>
    <x:col min="5" max="5" width="10.62890625" style="8" bestFit="1" customWidth="1"/>
    <x:col min="6" max="16384" width="9.00390625" style="8"/>
  </x:cols>
  <x:sheetData>
    <x:row r="1" spans="1:1">
      <x:c r="A1" s="8" t="s">
        <x:v>183</x:v>
      </x:c>
    </x:row>
    <x:row r="2" spans="1:5">
      <x:c r="A2" s="3" t="s">
        <x:v>180</x:v>
      </x:c>
      <x:c r="B2" s="15" t="s">
        <x:v>14</x:v>
      </x:c>
      <x:c r="C2" s="15" t="s">
        <x:v>19</x:v>
      </x:c>
      <x:c r="E2" s="1" t="s">
        <x:v>5</x:v>
      </x:c>
    </x:row>
    <x:row r="3" spans="1:3">
      <x:c r="A3" s="8" t="s">
        <x:v>186</x:v>
      </x:c>
      <x:c r="B3" s="9">
        <x:v>20241652</x:v>
      </x:c>
      <x:c r="C3" s="10" t="s">
        <x:v>29</x:v>
      </x:c>
    </x:row>
    <x:row r="4" spans="1:3">
      <x:c r="A4" s="8" t="s">
        <x:v>185</x:v>
      </x:c>
      <x:c r="B4" s="9">
        <x:v>20241653</x:v>
      </x:c>
      <x:c r="C4" s="10" t="s">
        <x:v>58</x:v>
      </x:c>
    </x:row>
    <x:row r="5" spans="1:3">
      <x:c r="A5" s="8" t="s">
        <x:v>182</x:v>
      </x:c>
      <x:c r="B5" s="9">
        <x:v>20241654</x:v>
      </x:c>
      <x:c r="C5" s="10" t="s">
        <x:v>32</x:v>
      </x:c>
    </x:row>
    <x:row r="6" spans="1:3">
      <x:c r="A6" s="8" t="s">
        <x:v>184</x:v>
      </x:c>
      <x:c r="B6" s="9">
        <x:v>20241655</x:v>
      </x:c>
      <x:c r="C6" s="10" t="s">
        <x:v>38</x:v>
      </x:c>
    </x:row>
    <x:row r="7" spans="1:3">
      <x:c r="A7" s="8" t="s">
        <x:v>155</x:v>
      </x:c>
      <x:c r="B7" s="9">
        <x:v>20241656</x:v>
      </x:c>
      <x:c r="C7" s="10" t="s">
        <x:v>30</x:v>
      </x:c>
    </x:row>
    <x:row r="8" spans="1:3">
      <x:c r="A8" s="8" t="s">
        <x:v>154</x:v>
      </x:c>
      <x:c r="B8" s="9">
        <x:v>20241657</x:v>
      </x:c>
      <x:c r="C8" s="10" t="s">
        <x:v>37</x:v>
      </x:c>
    </x:row>
    <x:row r="9" spans="1:3">
      <x:c r="A9" s="8" t="s">
        <x:v>153</x:v>
      </x:c>
      <x:c r="B9" s="9">
        <x:v>20241658</x:v>
      </x:c>
      <x:c r="C9" s="10" t="s">
        <x:v>35</x:v>
      </x:c>
    </x:row>
    <x:row r="10" spans="1:3">
      <x:c r="A10" s="8" t="s">
        <x:v>158</x:v>
      </x:c>
      <x:c r="B10" s="9">
        <x:v>20241659</x:v>
      </x:c>
      <x:c r="C10" s="10" t="s">
        <x:v>26</x:v>
      </x:c>
    </x:row>
    <x:row r="11" spans="1:3">
      <x:c r="A11" s="8" t="s">
        <x:v>156</x:v>
      </x:c>
      <x:c r="B11" s="9">
        <x:v>20241662</x:v>
      </x:c>
      <x:c r="C11" s="10" t="s">
        <x:v>20</x:v>
      </x:c>
    </x:row>
    <x:row r="12" spans="1:3">
      <x:c r="A12" s="8" t="s">
        <x:v>157</x:v>
      </x:c>
      <x:c r="B12" s="9">
        <x:v>20241663</x:v>
      </x:c>
      <x:c r="C12" s="10" t="s">
        <x:v>21</x:v>
      </x:c>
    </x:row>
    <x:row r="13" spans="1:3">
      <x:c r="A13" s="8" t="s">
        <x:v>161</x:v>
      </x:c>
      <x:c r="B13" s="9">
        <x:v>20241664</x:v>
      </x:c>
      <x:c r="C13" s="10" t="s">
        <x:v>12</x:v>
      </x:c>
    </x:row>
    <x:row r="14" spans="1:3">
      <x:c r="A14" s="8" t="s">
        <x:v>163</x:v>
      </x:c>
      <x:c r="B14" s="9">
        <x:v>20241665</x:v>
      </x:c>
      <x:c r="C14" s="10" t="s">
        <x:v>77</x:v>
      </x:c>
    </x:row>
    <x:row r="15" spans="1:3">
      <x:c r="A15" s="8" t="s">
        <x:v>159</x:v>
      </x:c>
      <x:c r="B15" s="9">
        <x:v>20241670</x:v>
      </x:c>
      <x:c r="C15" s="10" t="s">
        <x:v>6</x:v>
      </x:c>
    </x:row>
    <x:row r="16" spans="1:3">
      <x:c r="A16" s="8" t="s">
        <x:v>160</x:v>
      </x:c>
      <x:c r="B16" s="9">
        <x:v>20241671</x:v>
      </x:c>
      <x:c r="C16" s="10" t="s">
        <x:v>10</x:v>
      </x:c>
    </x:row>
    <x:row r="17" spans="1:3">
      <x:c r="A17" s="8" t="s">
        <x:v>162</x:v>
      </x:c>
      <x:c r="B17" s="9">
        <x:v>20241672</x:v>
      </x:c>
      <x:c r="C17" s="10" t="s">
        <x:v>15</x:v>
      </x:c>
    </x:row>
    <x:row r="18" spans="1:3">
      <x:c r="A18" s="8" t="s">
        <x:v>166</x:v>
      </x:c>
      <x:c r="B18" s="9">
        <x:v>20241676</x:v>
      </x:c>
      <x:c r="C18" s="10" t="s">
        <x:v>63</x:v>
      </x:c>
    </x:row>
    <x:row r="19" spans="1:3">
      <x:c r="A19" s="8" t="s">
        <x:v>164</x:v>
      </x:c>
      <x:c r="B19" s="9">
        <x:v>20241678</x:v>
      </x:c>
      <x:c r="C19" s="10" t="s">
        <x:v>56</x:v>
      </x:c>
    </x:row>
    <x:row r="20" spans="1:3">
      <x:c r="A20" s="8" t="s">
        <x:v>165</x:v>
      </x:c>
      <x:c r="B20" s="9">
        <x:v>20241680</x:v>
      </x:c>
      <x:c r="C20" s="10" t="s">
        <x:v>7</x:v>
      </x:c>
    </x:row>
    <x:row r="21" spans="1:3">
      <x:c r="A21" s="8" t="s">
        <x:v>168</x:v>
      </x:c>
      <x:c r="B21" s="9">
        <x:v>20241682</x:v>
      </x:c>
      <x:c r="C21" s="10" t="s">
        <x:v>33</x:v>
      </x:c>
    </x:row>
    <x:row r="22" spans="1:3">
      <x:c r="A22" s="8" t="s">
        <x:v>167</x:v>
      </x:c>
      <x:c r="B22" s="9">
        <x:v>20241684</x:v>
      </x:c>
      <x:c r="C22" s="10" t="s">
        <x:v>84</x:v>
      </x:c>
    </x:row>
    <x:row r="23" spans="1:3">
      <x:c r="A23" s="8" t="s">
        <x:v>169</x:v>
      </x:c>
      <x:c r="B23" s="9">
        <x:v>20241685</x:v>
      </x:c>
      <x:c r="C23" s="10" t="s">
        <x:v>23</x:v>
      </x:c>
    </x:row>
    <x:row r="24" spans="1:3">
      <x:c r="A24" s="8" t="s">
        <x:v>170</x:v>
      </x:c>
      <x:c r="B24" s="9">
        <x:v>20241687</x:v>
      </x:c>
      <x:c r="C24" s="10" t="s">
        <x:v>57</x:v>
      </x:c>
    </x:row>
    <x:row r="25" spans="1:3">
      <x:c r="A25" s="8" t="s">
        <x:v>171</x:v>
      </x:c>
      <x:c r="B25" s="9">
        <x:v>20241689</x:v>
      </x:c>
      <x:c r="C25" s="10" t="s">
        <x:v>13</x:v>
      </x:c>
    </x:row>
    <x:row r="26" spans="1:3">
      <x:c r="A26" s="8" t="s">
        <x:v>177</x:v>
      </x:c>
      <x:c r="B26" s="9">
        <x:v>20241693</x:v>
      </x:c>
      <x:c r="C26" s="10" t="s">
        <x:v>45</x:v>
      </x:c>
    </x:row>
    <x:row r="27" spans="1:3">
      <x:c r="A27" s="8" t="s">
        <x:v>178</x:v>
      </x:c>
      <x:c r="B27" s="9">
        <x:v>20241694</x:v>
      </x:c>
      <x:c r="C27" s="10" t="s">
        <x:v>50</x:v>
      </x:c>
    </x:row>
    <x:row r="28" spans="1:3">
      <x:c r="A28" s="8" t="s">
        <x:v>176</x:v>
      </x:c>
      <x:c r="B28" s="9">
        <x:v>20241699</x:v>
      </x:c>
      <x:c r="C28" s="10" t="s">
        <x:v>60</x:v>
      </x:c>
    </x:row>
    <x:row r="29" spans="1:3">
      <x:c r="A29" s="8" t="s">
        <x:v>179</x:v>
      </x:c>
      <x:c r="B29" s="9">
        <x:v>20241700</x:v>
      </x:c>
      <x:c r="C29" s="10" t="s">
        <x:v>27</x:v>
      </x:c>
    </x:row>
    <x:row r="30" spans="1:3">
      <x:c r="A30" s="8" t="s">
        <x:v>172</x:v>
      </x:c>
      <x:c r="B30" s="9">
        <x:v>20241701</x:v>
      </x:c>
      <x:c r="C30" s="10" t="s">
        <x:v>54</x:v>
      </x:c>
    </x:row>
    <x:row r="31" spans="1:3">
      <x:c r="A31" s="8" t="s">
        <x:v>173</x:v>
      </x:c>
      <x:c r="B31" s="9">
        <x:v>20241702</x:v>
      </x:c>
      <x:c r="C31" s="10" t="s">
        <x:v>52</x:v>
      </x:c>
    </x:row>
    <x:row r="32" spans="1:3">
      <x:c r="A32" s="8" t="s">
        <x:v>174</x:v>
      </x:c>
      <x:c r="B32" s="9">
        <x:v>20241705</x:v>
      </x:c>
      <x:c r="C32" s="10" t="s">
        <x:v>18</x:v>
      </x:c>
    </x:row>
    <x:row r="33" spans="1:3">
      <x:c r="A33" s="8" t="s">
        <x:v>175</x:v>
      </x:c>
      <x:c r="B33" s="9">
        <x:v>20241706</x:v>
      </x:c>
      <x:c r="C33" s="10" t="s">
        <x:v>44</x:v>
      </x:c>
    </x:row>
    <x:row r="34" spans="1:3">
      <x:c r="A34" s="8" t="s">
        <x:v>354</x:v>
      </x:c>
      <x:c r="B34" s="9">
        <x:v>20241707</x:v>
      </x:c>
      <x:c r="C34" s="10" t="s">
        <x:v>48</x:v>
      </x:c>
    </x:row>
    <x:row r="35" spans="1:3">
      <x:c r="A35" s="8" t="s">
        <x:v>359</x:v>
      </x:c>
      <x:c r="B35" s="9">
        <x:v>20241710</x:v>
      </x:c>
      <x:c r="C35" s="10" t="s">
        <x:v>11</x:v>
      </x:c>
    </x:row>
    <x:row r="36" spans="1:3">
      <x:c r="A36" s="8" t="s">
        <x:v>358</x:v>
      </x:c>
      <x:c r="B36" s="9">
        <x:v>20241711</x:v>
      </x:c>
      <x:c r="C36" s="10" t="s">
        <x:v>51</x:v>
      </x:c>
    </x:row>
    <x:row r="37" spans="1:3">
      <x:c r="A37" s="8" t="s">
        <x:v>357</x:v>
      </x:c>
      <x:c r="B37" s="9">
        <x:v>20241712</x:v>
      </x:c>
      <x:c r="C37" s="10" t="s">
        <x:v>28</x:v>
      </x:c>
    </x:row>
    <x:row r="38" spans="1:3">
      <x:c r="A38" s="8" t="s">
        <x:v>356</x:v>
      </x:c>
      <x:c r="B38" s="9">
        <x:v>20241719</x:v>
      </x:c>
      <x:c r="C38" s="10" t="s">
        <x:v>6</x:v>
      </x:c>
    </x:row>
    <x:row r="39" spans="1:5">
      <x:c r="A39" s="8" t="s">
        <x:v>360</x:v>
      </x:c>
      <x:c r="B39" s="9">
        <x:v>20211773</x:v>
      </x:c>
      <x:c r="C39" s="18" t="s">
        <x:v>64</x:v>
      </x:c>
      <x:c r="E39" s="8" t="s">
        <x:v>418</x:v>
      </x:c>
    </x:row>
    <x:row r="40" spans="1:5">
      <x:c r="A40" s="8" t="s">
        <x:v>367</x:v>
      </x:c>
      <x:c r="B40" s="9">
        <x:v>20221758</x:v>
      </x:c>
      <x:c r="C40" s="18" t="s">
        <x:v>86</x:v>
      </x:c>
      <x:c r="E40" s="8" t="s">
        <x:v>418</x:v>
      </x:c>
    </x:row>
    <x:row r="41" spans="1:5">
      <x:c r="A41" s="8" t="s">
        <x:v>361</x:v>
      </x:c>
      <x:c r="B41" s="9">
        <x:v>20221759</x:v>
      </x:c>
      <x:c r="C41" s="18" t="s">
        <x:v>88</x:v>
      </x:c>
      <x:c r="E41" s="8" t="s">
        <x:v>418</x:v>
      </x:c>
    </x:row>
    <x:row r="42" spans="1:5">
      <x:c r="A42" s="8" t="s">
        <x:v>362</x:v>
      </x:c>
      <x:c r="B42" s="9">
        <x:v>20221760</x:v>
      </x:c>
      <x:c r="C42" s="18" t="s">
        <x:v>89</x:v>
      </x:c>
      <x:c r="E42" s="8" t="s">
        <x:v>418</x:v>
      </x:c>
    </x:row>
    <x:row r="43" spans="1:5">
      <x:c r="A43" s="8" t="s">
        <x:v>365</x:v>
      </x:c>
      <x:c r="B43" s="9">
        <x:v>20221762</x:v>
      </x:c>
      <x:c r="C43" s="18" t="s">
        <x:v>68</x:v>
      </x:c>
      <x:c r="E43" s="8" t="s">
        <x:v>418</x:v>
      </x:c>
    </x:row>
    <x:row r="44" spans="1:5">
      <x:c r="A44" s="8" t="s">
        <x:v>366</x:v>
      </x:c>
      <x:c r="B44" s="9">
        <x:v>20221763</x:v>
      </x:c>
      <x:c r="C44" s="18" t="s">
        <x:v>66</x:v>
      </x:c>
      <x:c r="E44" s="8" t="s">
        <x:v>418</x:v>
      </x:c>
    </x:row>
    <x:row r="45" spans="2:3">
      <x:c r="B45" s="19"/>
      <x:c r="C45" s="19"/>
    </x:row>
    <x:row r="46" spans="1:3">
      <x:c r="A46" s="8" t="s">
        <x:v>355</x:v>
      </x:c>
      <x:c r="B46" s="19"/>
      <x:c r="C46" s="19"/>
    </x:row>
    <x:row r="47" spans="1:5">
      <x:c r="A47" s="4" t="s">
        <x:v>180</x:v>
      </x:c>
      <x:c r="B47" s="20" t="s">
        <x:v>14</x:v>
      </x:c>
      <x:c r="C47" s="20" t="s">
        <x:v>19</x:v>
      </x:c>
      <x:c r="E47" s="1" t="s">
        <x:v>5</x:v>
      </x:c>
    </x:row>
    <x:row r="48" spans="1:3">
      <x:c r="A48" s="8" t="s">
        <x:v>364</x:v>
      </x:c>
      <x:c r="B48" s="9">
        <x:v>20201917</x:v>
      </x:c>
      <x:c r="C48" s="11" t="s">
        <x:v>82</x:v>
      </x:c>
    </x:row>
    <x:row r="49" spans="1:3">
      <x:c r="A49" s="8" t="s">
        <x:v>368</x:v>
      </x:c>
      <x:c r="B49" s="9">
        <x:v>20211775</x:v>
      </x:c>
      <x:c r="C49" s="11" t="s">
        <x:v>8</x:v>
      </x:c>
    </x:row>
    <x:row r="50" spans="1:3">
      <x:c r="A50" s="8" t="s">
        <x:v>369</x:v>
      </x:c>
      <x:c r="B50" s="9">
        <x:v>20211781</x:v>
      </x:c>
      <x:c r="C50" s="11" t="s">
        <x:v>59</x:v>
      </x:c>
    </x:row>
    <x:row r="51" spans="1:3">
      <x:c r="A51" s="8" t="s">
        <x:v>370</x:v>
      </x:c>
      <x:c r="B51" s="12">
        <x:v>20221764</x:v>
      </x:c>
      <x:c r="C51" s="13" t="s">
        <x:v>47</x:v>
      </x:c>
    </x:row>
    <x:row r="52" spans="1:3">
      <x:c r="A52" s="8" t="s">
        <x:v>371</x:v>
      </x:c>
      <x:c r="B52" s="9">
        <x:v>20221770</x:v>
      </x:c>
      <x:c r="C52" s="11" t="s">
        <x:v>49</x:v>
      </x:c>
    </x:row>
    <x:row r="53" spans="1:3">
      <x:c r="A53" s="8" t="s">
        <x:v>372</x:v>
      </x:c>
      <x:c r="B53" s="9">
        <x:v>20231714</x:v>
      </x:c>
      <x:c r="C53" s="11" t="s">
        <x:v>87</x:v>
      </x:c>
    </x:row>
    <x:row r="54" spans="1:3">
      <x:c r="A54" s="8" t="s">
        <x:v>373</x:v>
      </x:c>
      <x:c r="B54" s="12">
        <x:v>20241666</x:v>
      </x:c>
      <x:c r="C54" s="12" t="s">
        <x:v>42</x:v>
      </x:c>
    </x:row>
    <x:row r="55" spans="1:3">
      <x:c r="A55" s="8" t="s">
        <x:v>376</x:v>
      </x:c>
      <x:c r="B55" s="9">
        <x:v>20241668</x:v>
      </x:c>
      <x:c r="C55" s="13" t="s">
        <x:v>43</x:v>
      </x:c>
    </x:row>
    <x:row r="56" spans="1:3">
      <x:c r="A56" s="8" t="s">
        <x:v>375</x:v>
      </x:c>
      <x:c r="B56" s="9">
        <x:v>20241669</x:v>
      </x:c>
      <x:c r="C56" s="13" t="s">
        <x:v>22</x:v>
      </x:c>
    </x:row>
    <x:row r="57" spans="1:3">
      <x:c r="A57" s="8" t="s">
        <x:v>374</x:v>
      </x:c>
      <x:c r="B57" s="12">
        <x:v>20241674</x:v>
      </x:c>
      <x:c r="C57" s="12" t="s">
        <x:v>55</x:v>
      </x:c>
    </x:row>
    <x:row r="58" spans="1:3">
      <x:c r="A58" s="8" t="s">
        <x:v>337</x:v>
      </x:c>
      <x:c r="B58" s="12">
        <x:v>20241677</x:v>
      </x:c>
      <x:c r="C58" s="12" t="s">
        <x:v>40</x:v>
      </x:c>
    </x:row>
    <x:row r="59" spans="1:3">
      <x:c r="A59" s="8" t="s">
        <x:v>338</x:v>
      </x:c>
      <x:c r="B59" s="9">
        <x:v>20241679</x:v>
      </x:c>
      <x:c r="C59" s="13" t="s">
        <x:v>41</x:v>
      </x:c>
    </x:row>
    <x:row r="60" spans="1:3">
      <x:c r="A60" s="8" t="s">
        <x:v>340</x:v>
      </x:c>
      <x:c r="B60" s="9">
        <x:v>20241681</x:v>
      </x:c>
      <x:c r="C60" s="13" t="s">
        <x:v>4</x:v>
      </x:c>
    </x:row>
    <x:row r="61" spans="1:3">
      <x:c r="A61" s="8" t="s">
        <x:v>344</x:v>
      </x:c>
      <x:c r="B61" s="12">
        <x:v>20241686</x:v>
      </x:c>
      <x:c r="C61" s="12" t="s">
        <x:v>24</x:v>
      </x:c>
    </x:row>
    <x:row r="62" spans="1:3">
      <x:c r="A62" s="8" t="s">
        <x:v>346</x:v>
      </x:c>
      <x:c r="B62" s="9">
        <x:v>20241688</x:v>
      </x:c>
      <x:c r="C62" s="13" t="s">
        <x:v>46</x:v>
      </x:c>
    </x:row>
    <x:row r="63" spans="1:3">
      <x:c r="A63" s="8" t="s">
        <x:v>341</x:v>
      </x:c>
      <x:c r="B63" s="9">
        <x:v>20241690</x:v>
      </x:c>
      <x:c r="C63" s="13" t="s">
        <x:v>39</x:v>
      </x:c>
    </x:row>
    <x:row r="64" spans="1:3">
      <x:c r="A64" s="8" t="s">
        <x:v>339</x:v>
      </x:c>
      <x:c r="B64" s="9">
        <x:v>20241691</x:v>
      </x:c>
      <x:c r="C64" s="13" t="s">
        <x:v>17</x:v>
      </x:c>
    </x:row>
    <x:row r="65" spans="1:3">
      <x:c r="A65" s="8" t="s">
        <x:v>345</x:v>
      </x:c>
      <x:c r="B65" s="9">
        <x:v>20241692</x:v>
      </x:c>
      <x:c r="C65" s="13" t="s">
        <x:v>16</x:v>
      </x:c>
    </x:row>
    <x:row r="66" spans="1:3">
      <x:c r="A66" s="8" t="s">
        <x:v>342</x:v>
      </x:c>
      <x:c r="B66" s="9">
        <x:v>20241696</x:v>
      </x:c>
      <x:c r="C66" s="13" t="s">
        <x:v>61</x:v>
      </x:c>
    </x:row>
    <x:row r="67" spans="1:3">
      <x:c r="A67" s="8" t="s">
        <x:v>343</x:v>
      </x:c>
      <x:c r="B67" s="9">
        <x:v>20241697</x:v>
      </x:c>
      <x:c r="C67" s="13" t="s">
        <x:v>31</x:v>
      </x:c>
    </x:row>
    <x:row r="68" spans="1:3">
      <x:c r="A68" s="8" t="s">
        <x:v>353</x:v>
      </x:c>
      <x:c r="B68" s="9">
        <x:v>20241708</x:v>
      </x:c>
      <x:c r="C68" s="13" t="s">
        <x:v>62</x:v>
      </x:c>
    </x:row>
    <x:row r="69" spans="1:3">
      <x:c r="A69" s="8" t="s">
        <x:v>350</x:v>
      </x:c>
      <x:c r="B69" s="9">
        <x:v>20241709</x:v>
      </x:c>
      <x:c r="C69" s="13" t="s">
        <x:v>53</x:v>
      </x:c>
    </x:row>
    <x:row r="70" spans="1:3">
      <x:c r="A70" s="8" t="s">
        <x:v>352</x:v>
      </x:c>
      <x:c r="B70" s="12">
        <x:v>20241720</x:v>
      </x:c>
      <x:c r="C70" s="12" t="s">
        <x:v>78</x:v>
      </x:c>
    </x:row>
    <x:row r="71" spans="1:3">
      <x:c r="A71" s="8" t="s">
        <x:v>351</x:v>
      </x:c>
      <x:c r="B71" s="9">
        <x:v>20241723</x:v>
      </x:c>
      <x:c r="C71" s="13" t="s">
        <x:v>36</x:v>
      </x:c>
    </x:row>
    <x:row r="72" spans="1:3">
      <x:c r="A72" s="8" t="s">
        <x:v>347</x:v>
      </x:c>
      <x:c r="B72" s="9">
        <x:v>20241725</x:v>
      </x:c>
      <x:c r="C72" s="13" t="s">
        <x:v>34</x:v>
      </x:c>
    </x:row>
    <x:row r="73" spans="1:3">
      <x:c r="A73" s="8" t="s">
        <x:v>348</x:v>
      </x:c>
      <x:c r="B73" s="9">
        <x:v>20251963</x:v>
      </x:c>
      <x:c r="C73" s="11" t="s">
        <x:v>74</x:v>
      </x:c>
    </x:row>
    <x:row r="74" spans="1:3">
      <x:c r="A74" s="8" t="s">
        <x:v>349</x:v>
      </x:c>
      <x:c r="B74" s="12">
        <x:v>20201901</x:v>
      </x:c>
      <x:c r="C74" s="12" t="s">
        <x:v>9</x:v>
      </x:c>
    </x:row>
    <x:row r="75" spans="1:3">
      <x:c r="A75" s="8" t="s">
        <x:v>363</x:v>
      </x:c>
      <x:c r="B75" s="9">
        <x:v>20251964</x:v>
      </x:c>
      <x:c r="C75" s="11" t="s">
        <x:v>83</x:v>
      </x:c>
    </x:row>
    <x:row r="76" spans="1:3">
      <x:c r="A76" s="8" t="s">
        <x:v>104</x:v>
      </x:c>
      <x:c r="B76" s="9">
        <x:v>20251965</x:v>
      </x:c>
      <x:c r="C76" s="11" t="s">
        <x:v>80</x:v>
      </x:c>
    </x:row>
    <x:row r="77" spans="1:3">
      <x:c r="A77" s="8" t="s">
        <x:v>106</x:v>
      </x:c>
      <x:c r="B77" s="9">
        <x:v>20251966</x:v>
      </x:c>
      <x:c r="C77" s="11" t="s">
        <x:v>25</x:v>
      </x:c>
    </x:row>
    <x:row r="78" spans="1:3">
      <x:c r="A78" s="8" t="s">
        <x:v>105</x:v>
      </x:c>
      <x:c r="B78" s="9">
        <x:v>20251967</x:v>
      </x:c>
      <x:c r="C78" s="11" t="s">
        <x:v>65</x:v>
      </x:c>
    </x:row>
    <x:row r="79" spans="1:3">
      <x:c r="A79" s="8" t="s">
        <x:v>101</x:v>
      </x:c>
      <x:c r="B79" s="9">
        <x:v>20251968</x:v>
      </x:c>
      <x:c r="C79" s="11" t="s">
        <x:v>72</x:v>
      </x:c>
    </x:row>
    <x:row r="80" spans="1:3">
      <x:c r="A80" s="8" t="s">
        <x:v>99</x:v>
      </x:c>
      <x:c r="B80" s="9">
        <x:v>20251969</x:v>
      </x:c>
      <x:c r="C80" s="11" t="s">
        <x:v>81</x:v>
      </x:c>
    </x:row>
    <x:row r="81" spans="1:3">
      <x:c r="A81" s="8" t="s">
        <x:v>103</x:v>
      </x:c>
      <x:c r="B81" s="9">
        <x:v>20251970</x:v>
      </x:c>
      <x:c r="C81" s="11" t="s">
        <x:v>75</x:v>
      </x:c>
    </x:row>
    <x:row r="82" spans="1:3">
      <x:c r="A82" s="8" t="s">
        <x:v>102</x:v>
      </x:c>
      <x:c r="B82" s="9">
        <x:v>20251972</x:v>
      </x:c>
      <x:c r="C82" s="11" t="s">
        <x:v>79</x:v>
      </x:c>
    </x:row>
    <x:row r="83" spans="1:5">
      <x:c r="A83" s="8" t="s">
        <x:v>100</x:v>
      </x:c>
      <x:c r="B83" s="9">
        <x:v>20221774</x:v>
      </x:c>
      <x:c r="C83" s="18" t="s">
        <x:v>76</x:v>
      </x:c>
      <x:c r="E83" s="8" t="s">
        <x:v>418</x:v>
      </x:c>
    </x:row>
    <x:row r="84" spans="1:5">
      <x:c r="A84" s="8" t="s">
        <x:v>110</x:v>
      </x:c>
      <x:c r="B84" s="9">
        <x:v>20221775</x:v>
      </x:c>
      <x:c r="C84" s="18" t="s">
        <x:v>69</x:v>
      </x:c>
      <x:c r="E84" s="8" t="s">
        <x:v>418</x:v>
      </x:c>
    </x:row>
    <x:row r="85" spans="1:5">
      <x:c r="A85" s="8" t="s">
        <x:v>107</x:v>
      </x:c>
      <x:c r="B85" s="9">
        <x:v>20231675</x:v>
      </x:c>
      <x:c r="C85" s="18" t="s">
        <x:v>70</x:v>
      </x:c>
      <x:c r="E85" s="8" t="s">
        <x:v>418</x:v>
      </x:c>
    </x:row>
    <x:row r="86" spans="1:5">
      <x:c r="A86" s="8" t="s">
        <x:v>108</x:v>
      </x:c>
      <x:c r="B86" s="9">
        <x:v>20231688</x:v>
      </x:c>
      <x:c r="C86" s="18" t="s">
        <x:v>85</x:v>
      </x:c>
      <x:c r="E86" s="8" t="s">
        <x:v>418</x:v>
      </x:c>
    </x:row>
    <x:row r="87" spans="1:5">
      <x:c r="A87" s="8" t="s">
        <x:v>111</x:v>
      </x:c>
      <x:c r="B87" s="9">
        <x:v>20231690</x:v>
      </x:c>
      <x:c r="C87" s="18" t="s">
        <x:v>67</x:v>
      </x:c>
      <x:c r="E87" s="8" t="s">
        <x:v>418</x:v>
      </x:c>
    </x:row>
    <x:row r="88" spans="1:5">
      <x:c r="A88" s="8" t="s">
        <x:v>109</x:v>
      </x:c>
      <x:c r="B88" s="9">
        <x:v>20231740</x:v>
      </x:c>
      <x:c r="C88" s="18" t="s">
        <x:v>73</x:v>
      </x:c>
      <x:c r="E88" s="8" t="s">
        <x:v>418</x:v>
      </x:c>
    </x:row>
    <x:row r="89" spans="1:5">
      <x:c r="A89" s="8" t="s">
        <x:v>123</x:v>
      </x:c>
      <x:c r="B89" s="12">
        <x:v>20241889</x:v>
      </x:c>
      <x:c r="C89" s="18" t="s">
        <x:v>71</x:v>
      </x:c>
      <x:c r="E89" s="8" t="s">
        <x:v>418</x:v>
      </x:c>
    </x:row>
  </x:sheetData>
  <x:conditionalFormatting sqref="C57:C57">
    <x:cfRule type="duplicateValues" dxfId="18" priority="3"/>
  </x:conditionalFormatting>
  <x:conditionalFormatting sqref="C58:C58">
    <x:cfRule type="duplicateValues" dxfId="18" priority="2"/>
  </x:conditionalFormatting>
  <x:conditionalFormatting sqref="C59:C59">
    <x:cfRule type="duplicateValues" dxfId="18" priority="1"/>
  </x:conditionalFormatting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13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6.32421875" bestFit="1" customWidth="1"/>
    <x:col min="2" max="2" width="7.2109375" bestFit="1" customWidth="1"/>
    <x:col min="3" max="3" width="25.81640625" bestFit="1" customWidth="1"/>
    <x:col min="4" max="8" width="32.14453125" bestFit="1" customWidth="1"/>
  </x:cols>
  <x:sheetData>
    <x:row r="1" spans="1:8">
      <x:c r="A1" s="1" t="s">
        <x:v>188</x:v>
      </x:c>
      <x:c r="B1" s="1" t="s">
        <x:v>152</x:v>
      </x:c>
      <x:c r="C1" s="1" t="s">
        <x:v>151</x:v>
      </x:c>
      <x:c r="D1" s="1" t="s">
        <x:v>147</x:v>
      </x:c>
      <x:c r="E1" s="1" t="s">
        <x:v>149</x:v>
      </x:c>
      <x:c r="F1" s="1" t="s">
        <x:v>150</x:v>
      </x:c>
      <x:c r="G1" s="1" t="s">
        <x:v>148</x:v>
      </x:c>
      <x:c r="H1" s="1" t="s">
        <x:v>146</x:v>
      </x:c>
    </x:row>
    <x:row r="2" spans="1:8">
      <x:c r="A2" t="s">
        <x:v>112</x:v>
      </x:c>
      <x:c r="B2" t="s">
        <x:v>181</x:v>
      </x:c>
      <x:c r="C2" t="str">
        <x:f>IFERROR(VLOOKUP("A18",명단!A:C,3,FALSE),"A18")&amp;" "&amp;IFERROR(VLOOKUP("A23",명단!A:C,3,FALSE),"A23")&amp;" "&amp;IFERROR(VLOOKUP("A30",명단!A:C,3,FALSE),"A30")&amp;" "&amp;IFERROR(VLOOKUP("A31",명단!A:C,3,FALSE),"A31")</x:f>
        <x:v>박수인 연제은 정연주 조민경</x:v>
      </x:c>
      <x:c r="D2" t="str">
        <x:f>IFERROR(VLOOKUP("A11",명단!A:C,3,FALSE),"A11")&amp;" "&amp;IFERROR(VLOOKUP("A17",명단!A:C,3,FALSE),"A17")&amp;" "&amp;IFERROR(VLOOKUP("A26",명단!A:C,3,FALSE),"A26")&amp;" "&amp;IFERROR(VLOOKUP("A29",명단!A:C,3,FALSE),"A29")&amp;" "&amp;IFERROR(VLOOKUP("A41",명단!A:C,3,FALSE),"A41")</x:f>
        <x:v>김성은 민보나 이희서 점서원 최민영</x:v>
      </x:c>
      <x:c r="E2" t="str">
        <x:f>IFERROR(VLOOKUP("A08",명단!A:C,3,FALSE),"A08")&amp;" "&amp;IFERROR(VLOOKUP("A10",명단!A:C,3,FALSE),"A10")&amp;" "&amp;IFERROR(VLOOKUP("A15",명단!A:C,3,FALSE),"A15")&amp;" "&amp;IFERROR(VLOOKUP("A20",명단!A:C,3,FALSE),"A20")&amp;" "&amp;IFERROR(VLOOKUP("A25",명단!A:C,3,FALSE),"A25")</x:f>
        <x:v>김단영 김서현 김현서 송예원 이민정</x:v>
      </x:c>
      <x:c r="F2" t="str">
        <x:f>IFERROR(VLOOKUP("B14",명단!A:C,3,FALSE),"B14")&amp;" "&amp;IFERROR(VLOOKUP("B18",명단!A:C,3,FALSE),"B18")&amp;" "&amp;IFERROR(VLOOKUP("B25",명단!A:C,3,FALSE),"B25")&amp;" "&amp;IFERROR(VLOOKUP("B30",명단!A:C,3,FALSE),"B30")&amp;" "&amp;IFERROR(VLOOKUP("B37",명단!A:C,3,FALSE),"B37")</x:f>
        <x:v>안정민 이강희 정재경 이유진 김우겸</x:v>
      </x:c>
      <x:c r="G2" t="str">
        <x:f>IFERROR(VLOOKUP("B11",명단!A:C,3,FALSE),"B11")&amp;" "&amp;IFERROR(VLOOKUP("B20",명단!A:C,3,FALSE),"B20")&amp;" "&amp;IFERROR(VLOOKUP("B24",명단!A:C,3,FALSE),"B24")&amp;" "&amp;IFERROR(VLOOKUP("B34",명단!A:C,3,FALSE),"B34")&amp;" "&amp;IFERROR(VLOOKUP("B38",명단!A:C,3,FALSE),"B38")</x:f>
        <x:v>문채원 이예은 신민준 임유진 김옥수</x:v>
      </x:c>
      <x:c r="H2" t="str">
        <x:f>IFERROR(VLOOKUP("B01",명단!A:C,3,FALSE),"B01")&amp;" "&amp;IFERROR(VLOOKUP("B21",명단!A:C,3,FALSE),"B21")&amp;" "&amp;IFERROR(VLOOKUP("B26",명단!A:C,3,FALSE),"B26")&amp;" "&amp;IFERROR(VLOOKUP("B31",명단!A:C,3,FALSE),"B31")&amp;" "&amp;IFERROR(VLOOKUP("B39",명단!A:C,3,FALSE),"B39")</x:f>
        <x:v>유민우 주예진 김보미 위인애 김윤하</x:v>
      </x:c>
    </x:row>
    <x:row r="3" spans="1:7">
      <x:c r="A3" t="s">
        <x:v>114</x:v>
      </x:c>
      <x:c r="B3" t="s">
        <x:v>187</x:v>
      </x:c>
      <x:c r="F3" t="str">
        <x:f>IFERROR(VLOOKUP("B09",명단!A:C,3,FALSE),"B09")&amp;" "&amp;IFERROR(VLOOKUP("B28",명단!A:C,3,FALSE),"B28")</x:f>
        <x:v>김주현 김하은</x:v>
      </x:c>
      <x:c r="G3" t="str">
        <x:f>IFERROR(VLOOKUP("B08",명단!A:C,3,FALSE),"B08")&amp;" "&amp;IFERROR(VLOOKUP("B12",명단!A:C,3,FALSE),"B12")</x:f>
        <x:v>김은지 민세은</x:v>
      </x:c>
    </x:row>
    <x:row r="4" spans="1:8">
      <x:c r="A4" t="s">
        <x:v>93</x:v>
      </x:c>
      <x:c r="B4" t="s">
        <x:v>95</x:v>
      </x:c>
      <x:c r="C4" t="str">
        <x:f>IFERROR(VLOOKUP("A01",명단!A:C,3,FALSE),"A01")&amp;" "&amp;IFERROR(VLOOKUP("A08",명단!A:C,3,FALSE),"A08")</x:f>
        <x:v>고나영 김단영</x:v>
      </x:c>
      <x:c r="D4" t="str">
        <x:f>IFERROR(VLOOKUP("A02",명단!A:C,3,FALSE),"A02")&amp;" "&amp;IFERROR(VLOOKUP("A27",명단!A:C,3,FALSE),"A27")</x:f>
        <x:v>곽나연 임혜린</x:v>
      </x:c>
      <x:c r="E4" t="str">
        <x:f>IFERROR(VLOOKUP("A26",명단!A:C,3,FALSE),"A26")&amp;" "&amp;IFERROR(VLOOKUP("A32",명단!A:C,3,FALSE),"A32")</x:f>
        <x:v>이희서 조채은</x:v>
      </x:c>
      <x:c r="F4" t="str">
        <x:f>IFERROR(VLOOKUP("B05",명단!A:C,3,FALSE),"B05")&amp;" "&amp;IFERROR(VLOOKUP("B22",명단!A:C,3,FALSE),"B22")</x:f>
        <x:v>이두리 최다연</x:v>
      </x:c>
      <x:c r="G4" t="str">
        <x:f>IFERROR(VLOOKUP("B16",명단!A:C,3,FALSE),"B16")&amp;" "&amp;IFERROR(VLOOKUP("B26",명단!A:C,3,FALSE),"B26")</x:f>
        <x:v>유리 김보미</x:v>
      </x:c>
      <x:c r="H4" t="str">
        <x:f>IFERROR(VLOOKUP("B02",명단!A:C,3,FALSE),"B02")&amp;" "&amp;IFERROR(VLOOKUP("B12",명단!A:C,3,FALSE),"B12")</x:f>
        <x:v>김진성 민세은</x:v>
      </x:c>
    </x:row>
    <x:row r="5" spans="1:8">
      <x:c r="A5" t="s">
        <x:v>93</x:v>
      </x:c>
      <x:c r="B5" t="s">
        <x:v>94</x:v>
      </x:c>
      <x:c r="C5" t="str">
        <x:f>IFERROR(VLOOKUP("A07",명단!A:C,3,FALSE),"A07")&amp;" "&amp;IFERROR(VLOOKUP("A16",명단!A:C,3,FALSE),"A16")</x:f>
        <x:v>김단비 류지호</x:v>
      </x:c>
      <x:c r="D5" t="str">
        <x:f>IFERROR(VLOOKUP("A03",명단!A:C,3,FALSE),"A03")&amp;" "&amp;IFERROR(VLOOKUP("A21",명단!A:C,3,FALSE),"A21")</x:f>
        <x:v>구서현 송유나</x:v>
      </x:c>
      <x:c r="E5" t="str">
        <x:f>IFERROR(VLOOKUP("A19",명단!A:C,3,FALSE),"A19")&amp;" "&amp;IFERROR(VLOOKUP("A37",명단!A:C,3,FALSE),"A37")</x:f>
        <x:v>손예지 노부경</x:v>
      </x:c>
      <x:c r="F5" t="str">
        <x:f>IFERROR(VLOOKUP("B15",명단!A:C,3,FALSE),"B15")&amp;" "&amp;IFERROR(VLOOKUP("B33",명단!A:C,3,FALSE),"B33")</x:f>
        <x:v>양채은 방수영</x:v>
      </x:c>
      <x:c r="G5" t="str">
        <x:f>IFERROR(VLOOKUP("B27",명단!A:C,3,FALSE),"B27")&amp;" "&amp;IFERROR(VLOOKUP("B41",명단!A:C,3,FALSE),"B41")</x:f>
        <x:v>하지혜 권세윤</x:v>
      </x:c>
      <x:c r="H5" t="str">
        <x:f>IFERROR(VLOOKUP("B04",명단!A:C,3,FALSE),"B04")&amp;" "&amp;IFERROR(VLOOKUP("B36",명단!A:C,3,FALSE),"B36")</x:f>
        <x:v>백진우 문성식</x:v>
      </x:c>
    </x:row>
    <x:row r="6" spans="1:8">
      <x:c r="A6" t="s">
        <x:v>98</x:v>
      </x:c>
      <x:c r="B6" t="s">
        <x:v>116</x:v>
      </x:c>
      <x:c r="C6" t="str">
        <x:f>IFERROR(VLOOKUP("A09",명단!A:C,3,FALSE),"A09")&amp;" "&amp;IFERROR(VLOOKUP("A32",명단!A:C,3,FALSE),"A32")</x:f>
        <x:v>김민주 조채은</x:v>
      </x:c>
      <x:c r="D6" t="str">
        <x:f>IFERROR(VLOOKUP("A01",명단!A:C,3,FALSE),"A01")&amp;" "&amp;IFERROR(VLOOKUP("A30",명단!A:C,3,FALSE),"A30")</x:f>
        <x:v>고나영 정연주</x:v>
      </x:c>
      <x:c r="E6" t="str">
        <x:f>IFERROR(VLOOKUP("A05",명단!A:C,3,FALSE),"A05")&amp;" "&amp;IFERROR(VLOOKUP("A38",명단!A:C,3,FALSE),"A38")</x:f>
        <x:v>권예은 백규민</x:v>
      </x:c>
      <x:c r="F6" t="str">
        <x:f>IFERROR(VLOOKUP("B19",명단!A:C,3,FALSE),"B19")&amp;" "&amp;IFERROR(VLOOKUP("B40",명단!A:C,3,FALSE),"B40")</x:f>
        <x:v>이수안 김은비</x:v>
      </x:c>
      <x:c r="G6" t="str">
        <x:f>IFERROR(VLOOKUP("B32",명단!A:C,3,FALSE),"B32")&amp;" "&amp;IFERROR(VLOOKUP("B36",명단!A:C,3,FALSE),"B36")</x:f>
        <x:v>권연우 문성식</x:v>
      </x:c>
      <x:c r="H6" t="str">
        <x:f>IFERROR(VLOOKUP("B06",명단!A:C,3,FALSE),"B06")&amp;" "&amp;IFERROR(VLOOKUP("B10",명단!A:C,3,FALSE),"B10")</x:f>
        <x:v>이가영 김희연</x:v>
      </x:c>
    </x:row>
    <x:row r="7" spans="1:8">
      <x:c r="A7" t="s">
        <x:v>98</x:v>
      </x:c>
      <x:c r="B7" t="s">
        <x:v>91</x:v>
      </x:c>
      <x:c r="C7" t="str">
        <x:f>IFERROR(VLOOKUP("A15",명단!A:C,3,FALSE),"A15")&amp;" "&amp;IFERROR(VLOOKUP("A19",명단!A:C,3,FALSE),"A19")&amp;" "&amp;IFERROR(VLOOKUP("A37",명단!A:C,3,FALSE),"A37")&amp;" "&amp;IFERROR(VLOOKUP("A42",명단!A:C,3,FALSE),"A42")</x:f>
        <x:v>김현서 손예지 노부경 박준서</x:v>
      </x:c>
      <x:c r="D7" t="str">
        <x:f>IFERROR(VLOOKUP("A12",명단!A:C,3,FALSE),"A12")&amp;" "&amp;IFERROR(VLOOKUP("A18",명단!A:C,3,FALSE),"A18")&amp;" "&amp;IFERROR(VLOOKUP("A34",명단!A:C,3,FALSE),"A34")&amp;" "&amp;IFERROR(VLOOKUP("A36",명단!A:C,3,FALSE),"A36")</x:f>
        <x:v>김세윤 박수인 최정미 김지수</x:v>
      </x:c>
      <x:c r="E7" t="str">
        <x:f>IFERROR(VLOOKUP("A28",명단!A:C,3,FALSE),"A28")&amp;" "&amp;IFERROR(VLOOKUP("A29",명단!A:C,3,FALSE),"A29")&amp;" "&amp;IFERROR(VLOOKUP("A33",명단!A:C,3,FALSE),"A33")&amp;" "&amp;IFERROR(VLOOKUP("A40",명단!A:C,3,FALSE),"A40")</x:f>
        <x:v>장해든 점서원 최은서 황재영</x:v>
      </x:c>
      <x:c r="F7" t="str">
        <x:f>IFERROR(VLOOKUP("B24",명단!A:C,3,FALSE),"B24")&amp;" "&amp;IFERROR(VLOOKUP("B35",명단!A:C,3,FALSE),"B35")&amp;" "&amp;IFERROR(VLOOKUP("B39",명단!A:C,3,FALSE),"B39")</x:f>
        <x:v>신민준 김성진 김윤하</x:v>
      </x:c>
      <x:c r="G7" t="str">
        <x:f>IFERROR(VLOOKUP("B03",명단!A:C,3,FALSE),"B03")&amp;" "&amp;IFERROR(VLOOKUP("B21",명단!A:C,3,FALSE),"B21")&amp;" "&amp;IFERROR(VLOOKUP("B33",명단!A:C,3,FALSE),"B33")</x:f>
        <x:v>심병성 주예진 방수영</x:v>
      </x:c>
      <x:c r="H7" t="str">
        <x:f>IFERROR(VLOOKUP("B15",명단!A:C,3,FALSE),"B15")&amp;" "&amp;IFERROR(VLOOKUP("B41",명단!A:C,3,FALSE),"B41")</x:f>
        <x:v>양채은 권세윤</x:v>
      </x:c>
    </x:row>
    <x:row r="8" spans="1:8">
      <x:c r="A8" t="s">
        <x:v>98</x:v>
      </x:c>
      <x:c r="B8" t="s">
        <x:v>94</x:v>
      </x:c>
      <x:c r="C8" t="str">
        <x:f>IFERROR(VLOOKUP("A02",명단!A:C,3,FALSE),"A02")&amp;" "&amp;IFERROR(VLOOKUP("A13",명단!A:C,3,FALSE),"A13")</x:f>
        <x:v>곽나연 김지수</x:v>
      </x:c>
      <x:c r="D8" t="str">
        <x:f>IFERROR(VLOOKUP("A06",명단!A:C,3,FALSE),"A06")&amp;" "&amp;IFERROR(VLOOKUP("A16",명단!A:C,3,FALSE),"A16")</x:f>
        <x:v>김나경 류지호</x:v>
      </x:c>
      <x:c r="E8" t="str">
        <x:f>IFERROR(VLOOKUP("A14",명단!A:C,3,FALSE),"A14")&amp;" "&amp;IFERROR(VLOOKUP("A35",명단!A:C,3,FALSE),"A35")</x:f>
        <x:v>김지연 최지은</x:v>
      </x:c>
      <x:c r="F8" t="str">
        <x:f>IFERROR(VLOOKUP("B02",명단!A:C,3,FALSE),"B02")&amp;" "&amp;IFERROR(VLOOKUP("B07",명단!A:C,3,FALSE),"B07")</x:f>
        <x:v>김진성 김예인</x:v>
      </x:c>
      <x:c r="G8" t="str">
        <x:f>IFERROR(VLOOKUP("B01",명단!A:C,3,FALSE),"B01")&amp;" "&amp;IFERROR(VLOOKUP("B17",명단!A:C,3,FALSE),"B17")</x:f>
        <x:v>유민우 윤지민</x:v>
      </x:c>
      <x:c r="H8" t="str">
        <x:f>IFERROR(VLOOKUP("B13",명단!A:C,3,FALSE),"B13")&amp;" "&amp;IFERROR(VLOOKUP("B42",명단!A:C,3,FALSE),"B42")</x:f>
        <x:v>박승민 김성태</x:v>
      </x:c>
    </x:row>
    <x:row r="9" spans="1:8">
      <x:c r="A9" t="s">
        <x:v>98</x:v>
      </x:c>
      <x:c r="B9" t="s">
        <x:v>95</x:v>
      </x:c>
      <x:c r="C9" t="str">
        <x:f>IFERROR(VLOOKUP("A03",명단!A:C,3,FALSE),"A03")&amp;" "&amp;IFERROR(VLOOKUP("A27",명단!A:C,3,FALSE),"A27")</x:f>
        <x:v>구서현 임혜린</x:v>
      </x:c>
      <x:c r="D9" t="str">
        <x:f>IFERROR(VLOOKUP("A04",명단!A:C,3,FALSE),"A04")&amp;" "&amp;IFERROR(VLOOKUP("A24",명단!A:C,3,FALSE),"A24")</x:f>
        <x:v>권소연 이나영</x:v>
      </x:c>
      <x:c r="E9" t="str">
        <x:f>IFERROR(VLOOKUP("A22",명단!A:C,3,FALSE),"A22")&amp;" "&amp;IFERROR(VLOOKUP("A39",명단!A:C,3,FALSE),"A39")</x:f>
        <x:v>안지수 김재욱</x:v>
      </x:c>
      <x:c r="F9" t="str">
        <x:f>IFERROR(VLOOKUP("B16",명단!A:C,3,FALSE),"B16")&amp;" "&amp;IFERROR(VLOOKUP("B29",명단!A:C,3,FALSE),"B29")</x:f>
        <x:v>유리 박현정</x:v>
      </x:c>
      <x:c r="G9" t="str">
        <x:f>IFERROR(VLOOKUP("B05",명단!A:C,3,FALSE),"B05")&amp;" "&amp;IFERROR(VLOOKUP("B23",명단!A:C,3,FALSE),"B23")</x:f>
        <x:v>이두리 김현진</x:v>
      </x:c>
      <x:c r="H9" t="str">
        <x:f>IFERROR(VLOOKUP("B20",명단!A:C,3,FALSE),"B20")&amp;" "&amp;IFERROR(VLOOKUP("B22",명단!A:C,3,FALSE),"B22")</x:f>
        <x:v>이예은 최다연</x:v>
      </x:c>
    </x:row>
    <x:row r="10" spans="1:8">
      <x:c r="A10" t="s">
        <x:v>113</x:v>
      </x:c>
      <x:c r="B10" t="s">
        <x:v>92</x:v>
      </x:c>
      <x:c r="C10" t="str">
        <x:f>IFERROR(VLOOKUP("A12",명단!A:C,3,FALSE),"A12")&amp;" "&amp;IFERROR(VLOOKUP("A28",명단!A:C,3,FALSE),"A28")</x:f>
        <x:v>김세윤 장해든</x:v>
      </x:c>
      <x:c r="D10" t="str">
        <x:f>IFERROR(VLOOKUP("A33",명단!A:C,3,FALSE),"A33")&amp;" "&amp;IFERROR(VLOOKUP("A40",명단!A:C,3,FALSE),"A40")</x:f>
        <x:v>최은서 황재영</x:v>
      </x:c>
      <x:c r="E10" t="str">
        <x:f>IFERROR(VLOOKUP("A34",명단!A:C,3,FALSE),"A34")&amp;" "&amp;IFERROR(VLOOKUP("A36",명단!A:C,3,FALSE),"A36")&amp;" "&amp;IFERROR(VLOOKUP("A42",명단!A:C,3,FALSE),"A42")</x:f>
        <x:v>최정미 김지수 박준서</x:v>
      </x:c>
      <x:c r="F10" t="str">
        <x:f>IFERROR(VLOOKUP("B03",명단!A:C,3,FALSE),"B03")&amp;" "&amp;IFERROR(VLOOKUP("B06",명단!A:C,3,FALSE),"B06")</x:f>
        <x:v>심병성 이가영</x:v>
      </x:c>
      <x:c r="G10" t="str">
        <x:f>IFERROR(VLOOKUP("B09",명단!A:C,3,FALSE),"B09")&amp;" "&amp;IFERROR(VLOOKUP("B10",명단!A:C,3,FALSE),"B10")&amp;" "&amp;IFERROR(VLOOKUP("B19",명단!A:C,3,FALSE),"B19")</x:f>
        <x:v>김주현 김희연 이수안</x:v>
      </x:c>
      <x:c r="H10" t="str">
        <x:f>IFERROR(VLOOKUP("B28",명단!A:C,3,FALSE),"B28")&amp;" "&amp;IFERROR(VLOOKUP("B35",명단!A:C,3,FALSE),"B35")</x:f>
        <x:v>김하은 김성진</x:v>
      </x:c>
    </x:row>
    <x:row r="11" spans="1:8">
      <x:c r="A11" t="s">
        <x:v>113</x:v>
      </x:c>
      <x:c r="B11" t="s">
        <x:v>117</x:v>
      </x:c>
      <x:c r="C11" t="str">
        <x:f>IFERROR(VLOOKUP("A10",명단!A:C,3,FALSE),"A10")&amp;" "&amp;IFERROR(VLOOKUP("A17",명단!A:C,3,FALSE),"A17")</x:f>
        <x:v>김서현 민보나</x:v>
      </x:c>
      <x:c r="D11" t="str">
        <x:f>IFERROR(VLOOKUP("A22",명단!A:C,3,FALSE),"A22")&amp;" "&amp;IFERROR(VLOOKUP("A38",명단!A:C,3,FALSE),"A38")&amp;" "&amp;IFERROR(VLOOKUP("A39",명단!A:C,3,FALSE),"A39")</x:f>
        <x:v>안지수 백규민 김재욱</x:v>
      </x:c>
      <x:c r="E11" t="str">
        <x:f>IFERROR(VLOOKUP("A04",명단!A:C,3,FALSE),"A04")&amp;" "&amp;IFERROR(VLOOKUP("A31",명단!A:C,3,FALSE),"A31")</x:f>
        <x:v>권소연 조민경</x:v>
      </x:c>
      <x:c r="F11" t="str">
        <x:f>IFERROR(VLOOKUP("B04",명단!A:C,3,FALSE),"B04")&amp;" "&amp;IFERROR(VLOOKUP("B13",명단!A:C,3,FALSE),"B13")&amp;" "&amp;IFERROR(VLOOKUP("B38",명단!A:C,3,FALSE),"B38")</x:f>
        <x:v>백진우 박승민 김옥수</x:v>
      </x:c>
      <x:c r="G11" t="str">
        <x:f>IFERROR(VLOOKUP("B31",명단!A:C,3,FALSE),"B31")&amp;" "&amp;IFERROR(VLOOKUP("B40",명단!A:C,3,FALSE),"B40")</x:f>
        <x:v>위인애 김은비</x:v>
      </x:c>
      <x:c r="H11" t="str">
        <x:f>IFERROR(VLOOKUP("B25",명단!A:C,3,FALSE),"B25")&amp;" "&amp;IFERROR(VLOOKUP("B27",명단!A:C,3,FALSE),"B27")</x:f>
        <x:v>정재경 하지혜</x:v>
      </x:c>
    </x:row>
    <x:row r="12" spans="1:8">
      <x:c r="A12" t="s">
        <x:v>113</x:v>
      </x:c>
      <x:c r="B12" t="s">
        <x:v>118</x:v>
      </x:c>
      <x:c r="C12" t="str">
        <x:f>IFERROR(VLOOKUP("A14",명단!A:C,3,FALSE),"A14")&amp;" "&amp;IFERROR(VLOOKUP("A41",명단!A:C,3,FALSE),"A41")</x:f>
        <x:v>김지연 최민영</x:v>
      </x:c>
      <x:c r="D12" t="str">
        <x:f>IFERROR(VLOOKUP("A13",명단!A:C,3,FALSE),"A13")&amp;" "&amp;IFERROR(VLOOKUP("A35",명단!A:C,3,FALSE),"A35")</x:f>
        <x:v>김지수 최지은</x:v>
      </x:c>
      <x:c r="E12" t="str">
        <x:f>IFERROR(VLOOKUP("A07",명단!A:C,3,FALSE),"A07")&amp;" "&amp;IFERROR(VLOOKUP("A09",명단!A:C,3,FALSE),"A09")&amp;" "&amp;IFERROR(VLOOKUP("A21",명단!A:C,3,FALSE),"A21")</x:f>
        <x:v>김단비 김민주 송유나</x:v>
      </x:c>
      <x:c r="F12" t="str">
        <x:f>IFERROR(VLOOKUP("B17",명단!A:C,3,FALSE),"B17")&amp;" "&amp;IFERROR(VLOOKUP("B23",명단!A:C,3,FALSE),"B23")</x:f>
        <x:v>윤지민 김현진</x:v>
      </x:c>
      <x:c r="G12" t="str">
        <x:f>IFERROR(VLOOKUP("B07",명단!A:C,3,FALSE),"B07")&amp;" "&amp;IFERROR(VLOOKUP("B14",명단!A:C,3,FALSE),"B14")</x:f>
        <x:v>김예인 안정민</x:v>
      </x:c>
      <x:c r="H12" t="str">
        <x:f>IFERROR(VLOOKUP("B08",명단!A:C,3,FALSE),"B08")&amp;" "&amp;IFERROR(VLOOKUP("B37",명단!A:C,3,FALSE),"B37")</x:f>
        <x:v>김은지 김우겸</x:v>
      </x:c>
    </x:row>
    <x:row r="13" spans="1:8">
      <x:c r="A13" t="s">
        <x:v>113</x:v>
      </x:c>
      <x:c r="B13" t="s">
        <x:v>115</x:v>
      </x:c>
      <x:c r="C13" t="str">
        <x:f>IFERROR(VLOOKUP("A05",명단!A:C,3,FALSE),"A05")&amp;" "&amp;IFERROR(VLOOKUP("A06",명단!A:C,3,FALSE),"A06")</x:f>
        <x:v>권예은 김나경</x:v>
      </x:c>
      <x:c r="D13" t="str">
        <x:f>IFERROR(VLOOKUP("A20",명단!A:C,3,FALSE),"A20")&amp;" "&amp;IFERROR(VLOOKUP("A23",명단!A:C,3,FALSE),"A23")&amp;" "&amp;IFERROR(VLOOKUP("A25",명단!A:C,3,FALSE),"A25")</x:f>
        <x:v>송예원 연제은 이민정</x:v>
      </x:c>
      <x:c r="E13" t="str">
        <x:f>IFERROR(VLOOKUP("A11",명단!A:C,3,FALSE),"A11")&amp;" "&amp;IFERROR(VLOOKUP("A24",명단!A:C,3,FALSE),"A24")</x:f>
        <x:v>김성은 이나영</x:v>
      </x:c>
      <x:c r="F13" t="str">
        <x:f>IFERROR(VLOOKUP("B11",명단!A:C,3,FALSE),"B11")&amp;" "&amp;IFERROR(VLOOKUP("B42",명단!A:C,3,FALSE),"B42")</x:f>
        <x:v>문채원 김성태</x:v>
      </x:c>
      <x:c r="G13" t="str">
        <x:f>IFERROR(VLOOKUP("B18",명단!A:C,3,FALSE),"B18")&amp;" "&amp;IFERROR(VLOOKUP("B29",명단!A:C,3,FALSE),"B29")</x:f>
        <x:v>이강희 박현정</x:v>
      </x:c>
      <x:c r="H13" t="str">
        <x:f>IFERROR(VLOOKUP("B30",명단!A:C,3,FALSE),"B30")&amp;" "&amp;IFERROR(VLOOKUP("B32",명단!A:C,3,FALSE),"B32")&amp;" "&amp;IFERROR(VLOOKUP("B34",명단!A:C,3,FALSE),"B34")</x:f>
        <x:v>이유진 권연우 임유진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I86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21.63671875" style="14" bestFit="1" customWidth="1"/>
    <x:col min="2" max="3" width="9.99609375" style="14" bestFit="1" customWidth="1"/>
    <x:col min="4" max="9" width="22.3984375" style="14" bestFit="1" customWidth="1"/>
    <x:col min="10" max="16384" width="9.00390625" style="14"/>
  </x:cols>
  <x:sheetData>
    <x:row r="1" spans="1:9">
      <x:c r="A1" s="15" t="s">
        <x:v>0</x:v>
      </x:c>
      <x:c r="B1" s="15"/>
      <x:c r="C1" s="15"/>
      <x:c r="D1" s="15" t="s">
        <x:v>151</x:v>
      </x:c>
      <x:c r="E1" s="15" t="s">
        <x:v>147</x:v>
      </x:c>
      <x:c r="F1" s="15" t="s">
        <x:v>149</x:v>
      </x:c>
      <x:c r="G1" s="15" t="s">
        <x:v>150</x:v>
      </x:c>
      <x:c r="H1" s="15" t="s">
        <x:v>148</x:v>
      </x:c>
      <x:c r="I1" s="15" t="s">
        <x:v>146</x:v>
      </x:c>
    </x:row>
    <x:row r="2" spans="1:9">
      <x:c r="A2" s="16" t="s">
        <x:v>257</x:v>
      </x:c>
      <x:c r="B2" s="16" t="s">
        <x:v>431</x:v>
      </x:c>
      <x:c r="C2" s="16" t="s">
        <x:v>97</x:v>
      </x:c>
      <x:c r="D2" s="16" t="s">
        <x:v>151</x:v>
      </x:c>
      <x:c r="E2" s="16" t="s">
        <x:v>147</x:v>
      </x:c>
      <x:c r="F2" s="16" t="s">
        <x:v>149</x:v>
      </x:c>
      <x:c r="G2" s="16" t="s">
        <x:v>150</x:v>
      </x:c>
      <x:c r="H2" s="16" t="s">
        <x:v>148</x:v>
      </x:c>
      <x:c r="I2" s="16" t="s">
        <x:v>146</x:v>
      </x:c>
    </x:row>
    <x:row r="3" spans="1:5">
      <x:c r="A3" s="17" t="s">
        <x:v>292</x:v>
      </x:c>
      <x:c r="B3" s="9">
        <x:v>20241652</x:v>
      </x:c>
      <x:c r="C3" s="10" t="s">
        <x:v>29</x:v>
      </x:c>
      <x:c r="D3" s="14" t="s">
        <x:v>282</x:v>
      </x:c>
      <x:c r="E3" s="14" t="s">
        <x:v>400</x:v>
      </x:c>
    </x:row>
    <x:row r="4" spans="1:5">
      <x:c r="A4" s="17" t="s">
        <x:v>295</x:v>
      </x:c>
      <x:c r="B4" s="9">
        <x:v>20241653</x:v>
      </x:c>
      <x:c r="C4" s="10" t="s">
        <x:v>58</x:v>
      </x:c>
      <x:c r="D4" s="14" t="s">
        <x:v>404</x:v>
      </x:c>
      <x:c r="E4" s="14" t="s">
        <x:v>282</x:v>
      </x:c>
    </x:row>
    <x:row r="5" spans="1:5">
      <x:c r="A5" s="17" t="s">
        <x:v>293</x:v>
      </x:c>
      <x:c r="B5" s="9">
        <x:v>20241654</x:v>
      </x:c>
      <x:c r="C5" s="10" t="s">
        <x:v>32</x:v>
      </x:c>
      <x:c r="D5" s="14" t="s">
        <x:v>401</x:v>
      </x:c>
      <x:c r="E5" s="14" t="s">
        <x:v>283</x:v>
      </x:c>
    </x:row>
    <x:row r="6" spans="1:6">
      <x:c r="A6" s="17" t="s">
        <x:v>322</x:v>
      </x:c>
      <x:c r="B6" s="9">
        <x:v>20241655</x:v>
      </x:c>
      <x:c r="C6" s="10" t="s">
        <x:v>38</x:v>
      </x:c>
      <x:c r="E6" s="14" t="s">
        <x:v>401</x:v>
      </x:c>
      <x:c r="F6" s="14" t="s">
        <x:v>403</x:v>
      </x:c>
    </x:row>
    <x:row r="7" spans="1:6">
      <x:c r="A7" s="17" t="s">
        <x:v>316</x:v>
      </x:c>
      <x:c r="B7" s="9">
        <x:v>20241656</x:v>
      </x:c>
      <x:c r="C7" s="10" t="s">
        <x:v>30</x:v>
      </x:c>
      <x:c r="D7" s="14" t="s">
        <x:v>402</x:v>
      </x:c>
      <x:c r="F7" s="14" t="s">
        <x:v>400</x:v>
      </x:c>
    </x:row>
    <x:row r="8" spans="1:5">
      <x:c r="A8" s="17" t="s">
        <x:v>298</x:v>
      </x:c>
      <x:c r="B8" s="9">
        <x:v>20241657</x:v>
      </x:c>
      <x:c r="C8" s="10" t="s">
        <x:v>37</x:v>
      </x:c>
      <x:c r="D8" s="14" t="s">
        <x:v>402</x:v>
      </x:c>
      <x:c r="E8" s="14" t="s">
        <x:v>404</x:v>
      </x:c>
    </x:row>
    <x:row r="9" spans="1:6">
      <x:c r="A9" s="17" t="s">
        <x:v>405</x:v>
      </x:c>
      <x:c r="B9" s="9">
        <x:v>20241658</x:v>
      </x:c>
      <x:c r="C9" s="10" t="s">
        <x:v>35</x:v>
      </x:c>
      <x:c r="D9" s="14" t="s">
        <x:v>283</x:v>
      </x:c>
      <x:c r="F9" s="14" t="s">
        <x:v>406</x:v>
      </x:c>
    </x:row>
    <x:row r="10" spans="1:6">
      <x:c r="A10" s="17" t="s">
        <x:v>407</x:v>
      </x:c>
      <x:c r="B10" s="9">
        <x:v>20241659</x:v>
      </x:c>
      <x:c r="C10" s="10" t="s">
        <x:v>26</x:v>
      </x:c>
      <x:c r="D10" s="14" t="s">
        <x:v>282</x:v>
      </x:c>
      <x:c r="F10" s="14" t="s">
        <x:v>284</x:v>
      </x:c>
    </x:row>
    <x:row r="11" spans="1:6">
      <x:c r="A11" s="17" t="s">
        <x:v>310</x:v>
      </x:c>
      <x:c r="B11" s="9">
        <x:v>20241662</x:v>
      </x:c>
      <x:c r="C11" s="10" t="s">
        <x:v>20</x:v>
      </x:c>
      <x:c r="D11" s="14" t="s">
        <x:v>400</x:v>
      </x:c>
      <x:c r="F11" s="14" t="s">
        <x:v>406</x:v>
      </x:c>
    </x:row>
    <x:row r="12" spans="1:6">
      <x:c r="A12" s="17" t="s">
        <x:v>413</x:v>
      </x:c>
      <x:c r="B12" s="9">
        <x:v>20241663</x:v>
      </x:c>
      <x:c r="C12" s="10" t="s">
        <x:v>21</x:v>
      </x:c>
      <x:c r="D12" s="14" t="s">
        <x:v>403</x:v>
      </x:c>
      <x:c r="F12" s="14" t="s">
        <x:v>284</x:v>
      </x:c>
    </x:row>
    <x:row r="13" spans="1:6">
      <x:c r="A13" s="17" t="s">
        <x:v>415</x:v>
      </x:c>
      <x:c r="B13" s="9">
        <x:v>20241664</x:v>
      </x:c>
      <x:c r="C13" s="10" t="s">
        <x:v>12</x:v>
      </x:c>
      <x:c r="E13" s="14" t="s">
        <x:v>284</x:v>
      </x:c>
      <x:c r="F13" s="14" t="s">
        <x:v>402</x:v>
      </x:c>
    </x:row>
    <x:row r="14" spans="1:5">
      <x:c r="A14" s="17" t="s">
        <x:v>408</x:v>
      </x:c>
      <x:c r="B14" s="9">
        <x:v>20241665</x:v>
      </x:c>
      <x:c r="C14" s="10" t="s">
        <x:v>77</x:v>
      </x:c>
      <x:c r="D14" s="14" t="s">
        <x:v>281</x:v>
      </x:c>
      <x:c r="E14" s="14" t="s">
        <x:v>416</x:v>
      </x:c>
    </x:row>
    <x:row r="15" spans="1:5">
      <x:c r="A15" s="17" t="s">
        <x:v>320</x:v>
      </x:c>
      <x:c r="B15" s="9">
        <x:v>20241670</x:v>
      </x:c>
      <x:c r="C15" s="10" t="s">
        <x:v>6</x:v>
      </x:c>
      <x:c r="D15" s="14" t="s">
        <x:v>404</x:v>
      </x:c>
      <x:c r="E15" s="14" t="s">
        <x:v>406</x:v>
      </x:c>
    </x:row>
    <x:row r="16" spans="1:6">
      <x:c r="A16" s="17" t="s">
        <x:v>326</x:v>
      </x:c>
      <x:c r="B16" s="9">
        <x:v>20241671</x:v>
      </x:c>
      <x:c r="C16" s="10" t="s">
        <x:v>10</x:v>
      </x:c>
      <x:c r="D16" s="14" t="s">
        <x:v>406</x:v>
      </x:c>
      <x:c r="F16" s="14" t="s">
        <x:v>404</x:v>
      </x:c>
    </x:row>
    <x:row r="17" spans="1:6">
      <x:c r="A17" s="17" t="s">
        <x:v>417</x:v>
      </x:c>
      <x:c r="B17" s="9">
        <x:v>20241672</x:v>
      </x:c>
      <x:c r="C17" s="10" t="s">
        <x:v>15</x:v>
      </x:c>
      <x:c r="D17" s="14" t="s">
        <x:v>416</x:v>
      </x:c>
      <x:c r="F17" s="14" t="s">
        <x:v>284</x:v>
      </x:c>
    </x:row>
    <x:row r="18" spans="1:5">
      <x:c r="A18" s="17" t="s">
        <x:v>317</x:v>
      </x:c>
      <x:c r="B18" s="9">
        <x:v>20241676</x:v>
      </x:c>
      <x:c r="C18" s="10" t="s">
        <x:v>63</x:v>
      </x:c>
      <x:c r="D18" s="14" t="s">
        <x:v>283</x:v>
      </x:c>
      <x:c r="E18" s="14" t="s">
        <x:v>404</x:v>
      </x:c>
    </x:row>
    <x:row r="19" spans="1:5">
      <x:c r="A19" s="17" t="s">
        <x:v>409</x:v>
      </x:c>
      <x:c r="B19" s="9">
        <x:v>20241678</x:v>
      </x:c>
      <x:c r="C19" s="10" t="s">
        <x:v>56</x:v>
      </x:c>
      <x:c r="D19" s="14" t="s">
        <x:v>403</x:v>
      </x:c>
      <x:c r="E19" s="14" t="s">
        <x:v>284</x:v>
      </x:c>
    </x:row>
    <x:row r="20" spans="1:5">
      <x:c r="A20" s="17" t="s">
        <x:v>411</x:v>
      </x:c>
      <x:c r="B20" s="9">
        <x:v>20241680</x:v>
      </x:c>
      <x:c r="C20" s="10" t="s">
        <x:v>7</x:v>
      </x:c>
      <x:c r="D20" s="14" t="s">
        <x:v>284</x:v>
      </x:c>
      <x:c r="E20" s="14" t="s">
        <x:v>416</x:v>
      </x:c>
    </x:row>
    <x:row r="21" spans="1:6">
      <x:c r="A21" s="17" t="s">
        <x:v>414</x:v>
      </x:c>
      <x:c r="B21" s="9">
        <x:v>20241682</x:v>
      </x:c>
      <x:c r="C21" s="10" t="s">
        <x:v>33</x:v>
      </x:c>
      <x:c r="D21" s="14" t="s">
        <x:v>416</x:v>
      </x:c>
      <x:c r="F21" s="14" t="s">
        <x:v>283</x:v>
      </x:c>
    </x:row>
    <x:row r="22" spans="1:6">
      <x:c r="A22" s="17" t="s">
        <x:v>410</x:v>
      </x:c>
      <x:c r="B22" s="9">
        <x:v>20241684</x:v>
      </x:c>
      <x:c r="C22" s="10" t="s">
        <x:v>84</x:v>
      </x:c>
      <x:c r="E22" s="14" t="s">
        <x:v>402</x:v>
      </x:c>
      <x:c r="F22" s="14" t="s">
        <x:v>284</x:v>
      </x:c>
    </x:row>
    <x:row r="23" spans="1:6">
      <x:c r="A23" s="17" t="s">
        <x:v>412</x:v>
      </x:c>
      <x:c r="B23" s="9">
        <x:v>20241685</x:v>
      </x:c>
      <x:c r="C23" s="10" t="s">
        <x:v>23</x:v>
      </x:c>
      <x:c r="E23" s="14" t="s">
        <x:v>283</x:v>
      </x:c>
      <x:c r="F23" s="14" t="s">
        <x:v>406</x:v>
      </x:c>
    </x:row>
    <x:row r="24" spans="1:6">
      <x:c r="A24" s="17" t="s">
        <x:v>302</x:v>
      </x:c>
      <x:c r="B24" s="9">
        <x:v>20241687</x:v>
      </x:c>
      <x:c r="C24" s="10" t="s">
        <x:v>57</x:v>
      </x:c>
      <x:c r="E24" s="14" t="s">
        <x:v>403</x:v>
      </x:c>
      <x:c r="F24" s="14" t="s">
        <x:v>401</x:v>
      </x:c>
    </x:row>
    <x:row r="25" spans="1:5">
      <x:c r="A25" s="17" t="s">
        <x:v>387</x:v>
      </x:c>
      <x:c r="B25" s="9">
        <x:v>20241689</x:v>
      </x:c>
      <x:c r="C25" s="10" t="s">
        <x:v>13</x:v>
      </x:c>
      <x:c r="D25" s="14" t="s">
        <x:v>284</x:v>
      </x:c>
      <x:c r="E25" s="14" t="s">
        <x:v>402</x:v>
      </x:c>
    </x:row>
    <x:row r="26" spans="1:6">
      <x:c r="A26" s="17" t="s">
        <x:v>327</x:v>
      </x:c>
      <x:c r="B26" s="9">
        <x:v>20241693</x:v>
      </x:c>
      <x:c r="C26" s="10" t="s">
        <x:v>45</x:v>
      </x:c>
      <x:c r="E26" s="14" t="s">
        <x:v>401</x:v>
      </x:c>
      <x:c r="F26" s="14" t="s">
        <x:v>402</x:v>
      </x:c>
    </x:row>
    <x:row r="27" spans="1:6">
      <x:c r="A27" s="17" t="s">
        <x:v>383</x:v>
      </x:c>
      <x:c r="B27" s="9">
        <x:v>20241694</x:v>
      </x:c>
      <x:c r="C27" s="10" t="s">
        <x:v>50</x:v>
      </x:c>
      <x:c r="E27" s="14" t="s">
        <x:v>402</x:v>
      </x:c>
      <x:c r="F27" s="14" t="s">
        <x:v>284</x:v>
      </x:c>
    </x:row>
    <x:row r="28" spans="1:6">
      <x:c r="A28" s="17" t="s">
        <x:v>384</x:v>
      </x:c>
      <x:c r="B28" s="9">
        <x:v>20241699</x:v>
      </x:c>
      <x:c r="C28" s="10" t="s">
        <x:v>60</x:v>
      </x:c>
      <x:c r="E28" s="14" t="s">
        <x:v>284</x:v>
      </x:c>
      <x:c r="F28" s="14" t="s">
        <x:v>282</x:v>
      </x:c>
    </x:row>
    <x:row r="29" spans="1:5">
      <x:c r="A29" s="17" t="s">
        <x:v>305</x:v>
      </x:c>
      <x:c r="B29" s="9">
        <x:v>20241700</x:v>
      </x:c>
      <x:c r="C29" s="10" t="s">
        <x:v>27</x:v>
      </x:c>
      <x:c r="D29" s="14" t="s">
        <x:v>401</x:v>
      </x:c>
      <x:c r="E29" s="14" t="s">
        <x:v>282</x:v>
      </x:c>
    </x:row>
    <x:row r="30" spans="1:6">
      <x:c r="A30" s="17" t="s">
        <x:v>382</x:v>
      </x:c>
      <x:c r="B30" s="9">
        <x:v>20241701</x:v>
      </x:c>
      <x:c r="C30" s="10" t="s">
        <x:v>54</x:v>
      </x:c>
      <x:c r="D30" s="14" t="s">
        <x:v>281</x:v>
      </x:c>
      <x:c r="F30" s="14" t="s">
        <x:v>416</x:v>
      </x:c>
    </x:row>
    <x:row r="31" spans="1:6">
      <x:c r="A31" s="17" t="s">
        <x:v>385</x:v>
      </x:c>
      <x:c r="B31" s="9">
        <x:v>20241702</x:v>
      </x:c>
      <x:c r="C31" s="10" t="s">
        <x:v>52</x:v>
      </x:c>
      <x:c r="E31" s="14" t="s">
        <x:v>284</x:v>
      </x:c>
      <x:c r="F31" s="14" t="s">
        <x:v>416</x:v>
      </x:c>
    </x:row>
    <x:row r="32" spans="1:5">
      <x:c r="A32" s="17" t="s">
        <x:v>299</x:v>
      </x:c>
      <x:c r="B32" s="9">
        <x:v>20241705</x:v>
      </x:c>
      <x:c r="C32" s="10" t="s">
        <x:v>18</x:v>
      </x:c>
      <x:c r="D32" s="14" t="s">
        <x:v>284</x:v>
      </x:c>
      <x:c r="E32" s="14" t="s">
        <x:v>400</x:v>
      </x:c>
    </x:row>
    <x:row r="33" spans="1:6">
      <x:c r="A33" s="17" t="s">
        <x:v>386</x:v>
      </x:c>
      <x:c r="B33" s="9">
        <x:v>20241706</x:v>
      </x:c>
      <x:c r="C33" s="10" t="s">
        <x:v>44</x:v>
      </x:c>
      <x:c r="D33" s="14" t="s">
        <x:v>284</x:v>
      </x:c>
      <x:c r="F33" s="14" t="s">
        <x:v>403</x:v>
      </x:c>
    </x:row>
    <x:row r="34" spans="1:6">
      <x:c r="A34" s="17" t="s">
        <x:v>321</x:v>
      </x:c>
      <x:c r="B34" s="9">
        <x:v>20241707</x:v>
      </x:c>
      <x:c r="C34" s="10" t="s">
        <x:v>48</x:v>
      </x:c>
      <x:c r="D34" s="14" t="s">
        <x:v>400</x:v>
      </x:c>
      <x:c r="F34" s="14" t="s">
        <x:v>282</x:v>
      </x:c>
    </x:row>
    <x:row r="35" spans="1:6">
      <x:c r="A35" s="17" t="s">
        <x:v>388</x:v>
      </x:c>
      <x:c r="B35" s="9">
        <x:v>20241710</x:v>
      </x:c>
      <x:c r="C35" s="10" t="s">
        <x:v>11</x:v>
      </x:c>
      <x:c r="E35" s="14" t="s">
        <x:v>281</x:v>
      </x:c>
      <x:c r="F35" s="14" t="s">
        <x:v>416</x:v>
      </x:c>
    </x:row>
    <x:row r="36" spans="1:6">
      <x:c r="A36" s="17" t="s">
        <x:v>394</x:v>
      </x:c>
      <x:c r="B36" s="9">
        <x:v>20241711</x:v>
      </x:c>
      <x:c r="C36" s="10" t="s">
        <x:v>51</x:v>
      </x:c>
      <x:c r="E36" s="14" t="s">
        <x:v>416</x:v>
      </x:c>
      <x:c r="F36" s="14" t="s">
        <x:v>281</x:v>
      </x:c>
    </x:row>
    <x:row r="37" spans="1:6">
      <x:c r="A37" s="17" t="s">
        <x:v>308</x:v>
      </x:c>
      <x:c r="B37" s="9">
        <x:v>20241712</x:v>
      </x:c>
      <x:c r="C37" s="10" t="s">
        <x:v>28</x:v>
      </x:c>
      <x:c r="E37" s="14" t="s">
        <x:v>406</x:v>
      </x:c>
      <x:c r="F37" s="14" t="s">
        <x:v>404</x:v>
      </x:c>
    </x:row>
    <x:row r="38" spans="1:6">
      <x:c r="A38" s="17" t="s">
        <x:v>393</x:v>
      </x:c>
      <x:c r="B38" s="9">
        <x:v>20241719</x:v>
      </x:c>
      <x:c r="C38" s="10" t="s">
        <x:v>6</x:v>
      </x:c>
      <x:c r="E38" s="14" t="s">
        <x:v>416</x:v>
      </x:c>
      <x:c r="F38" s="14" t="s">
        <x:v>281</x:v>
      </x:c>
    </x:row>
    <x:row r="39" spans="1:6">
      <x:c r="A39" s="17" t="s">
        <x:v>395</x:v>
      </x:c>
      <x:c r="B39" s="9">
        <x:v>20211773</x:v>
      </x:c>
      <x:c r="C39" s="18" t="s">
        <x:v>64</x:v>
      </x:c>
      <x:c r="D39" s="14" t="s">
        <x:v>416</x:v>
      </x:c>
      <x:c r="F39" s="14" t="s">
        <x:v>283</x:v>
      </x:c>
    </x:row>
    <x:row r="40" spans="1:6">
      <x:c r="A40" s="17" t="s">
        <x:v>300</x:v>
      </x:c>
      <x:c r="B40" s="9">
        <x:v>20221758</x:v>
      </x:c>
      <x:c r="C40" s="18" t="s">
        <x:v>86</x:v>
      </x:c>
      <x:c r="E40" s="14" t="s">
        <x:v>403</x:v>
      </x:c>
      <x:c r="F40" s="14" t="s">
        <x:v>400</x:v>
      </x:c>
    </x:row>
    <x:row r="41" spans="1:6">
      <x:c r="A41" s="17" t="s">
        <x:v>309</x:v>
      </x:c>
      <x:c r="B41" s="9">
        <x:v>20221759</x:v>
      </x:c>
      <x:c r="C41" s="18" t="s">
        <x:v>88</x:v>
      </x:c>
      <x:c r="E41" s="14" t="s">
        <x:v>403</x:v>
      </x:c>
      <x:c r="F41" s="14" t="s">
        <x:v>401</x:v>
      </x:c>
    </x:row>
    <x:row r="42" spans="1:6">
      <x:c r="A42" s="17" t="s">
        <x:v>398</x:v>
      </x:c>
      <x:c r="B42" s="9">
        <x:v>20221760</x:v>
      </x:c>
      <x:c r="C42" s="18" t="s">
        <x:v>89</x:v>
      </x:c>
      <x:c r="E42" s="14" t="s">
        <x:v>281</x:v>
      </x:c>
      <x:c r="F42" s="14" t="s">
        <x:v>416</x:v>
      </x:c>
    </x:row>
    <x:row r="43" spans="1:5">
      <x:c r="A43" s="17" t="s">
        <x:v>399</x:v>
      </x:c>
      <x:c r="B43" s="9">
        <x:v>20221762</x:v>
      </x:c>
      <x:c r="C43" s="18" t="s">
        <x:v>68</x:v>
      </x:c>
      <x:c r="D43" s="14" t="s">
        <x:v>406</x:v>
      </x:c>
      <x:c r="E43" s="14" t="s">
        <x:v>284</x:v>
      </x:c>
    </x:row>
    <x:row r="44" spans="1:6">
      <x:c r="A44" s="17" t="s">
        <x:v>396</x:v>
      </x:c>
      <x:c r="B44" s="9">
        <x:v>20221763</x:v>
      </x:c>
      <x:c r="C44" s="18" t="s">
        <x:v>66</x:v>
      </x:c>
      <x:c r="D44" s="14" t="s">
        <x:v>416</x:v>
      </x:c>
      <x:c r="F44" s="14" t="s">
        <x:v>281</x:v>
      </x:c>
    </x:row>
    <x:row r="45" spans="1:9">
      <x:c r="A45" s="17" t="s">
        <x:v>311</x:v>
      </x:c>
      <x:c r="B45" s="9">
        <x:v>20201917</x:v>
      </x:c>
      <x:c r="C45" s="11" t="s">
        <x:v>82</x:v>
      </x:c>
      <x:c r="H45" s="14" t="s">
        <x:v>404</x:v>
      </x:c>
      <x:c r="I45" s="14" t="s">
        <x:v>284</x:v>
      </x:c>
    </x:row>
    <x:row r="46" spans="1:9">
      <x:c r="A46" s="17" t="s">
        <x:v>301</x:v>
      </x:c>
      <x:c r="B46" s="9">
        <x:v>20211775</x:v>
      </x:c>
      <x:c r="C46" s="11" t="s">
        <x:v>8</x:v>
      </x:c>
      <x:c r="G46" s="14" t="s">
        <x:v>404</x:v>
      </x:c>
      <x:c r="I46" s="14" t="s">
        <x:v>282</x:v>
      </x:c>
    </x:row>
    <x:row r="47" spans="1:8">
      <x:c r="A47" s="17" t="s">
        <x:v>397</x:v>
      </x:c>
      <x:c r="B47" s="9">
        <x:v>20211781</x:v>
      </x:c>
      <x:c r="C47" s="11" t="s">
        <x:v>59</x:v>
      </x:c>
      <x:c r="G47" s="14" t="s">
        <x:v>281</x:v>
      </x:c>
      <x:c r="H47" s="14" t="s">
        <x:v>416</x:v>
      </x:c>
    </x:row>
    <x:row r="48" spans="1:9">
      <x:c r="A48" s="17" t="s">
        <x:v>189</x:v>
      </x:c>
      <x:c r="B48" s="12">
        <x:v>20221764</x:v>
      </x:c>
      <x:c r="C48" s="13" t="s">
        <x:v>47</x:v>
      </x:c>
      <x:c r="G48" s="14" t="s">
        <x:v>403</x:v>
      </x:c>
      <x:c r="I48" s="14" t="s">
        <x:v>283</x:v>
      </x:c>
    </x:row>
    <x:row r="49" spans="1:8">
      <x:c r="A49" s="17" t="s">
        <x:v>318</x:v>
      </x:c>
      <x:c r="B49" s="9">
        <x:v>20221770</x:v>
      </x:c>
      <x:c r="C49" s="11" t="s">
        <x:v>49</x:v>
      </x:c>
      <x:c r="G49" s="14" t="s">
        <x:v>282</x:v>
      </x:c>
      <x:c r="H49" s="14" t="s">
        <x:v>401</x:v>
      </x:c>
    </x:row>
    <x:row r="50" spans="1:9">
      <x:c r="A50" s="17" t="s">
        <x:v>303</x:v>
      </x:c>
      <x:c r="B50" s="9">
        <x:v>20231714</x:v>
      </x:c>
      <x:c r="C50" s="11" t="s">
        <x:v>87</x:v>
      </x:c>
      <x:c r="G50" s="14" t="s">
        <x:v>281</x:v>
      </x:c>
      <x:c r="I50" s="14" t="s">
        <x:v>400</x:v>
      </x:c>
    </x:row>
    <x:row r="51" spans="1:8">
      <x:c r="A51" s="17" t="s">
        <x:v>312</x:v>
      </x:c>
      <x:c r="B51" s="12">
        <x:v>20241666</x:v>
      </x:c>
      <x:c r="C51" s="12" t="s">
        <x:v>42</x:v>
      </x:c>
      <x:c r="G51" s="14" t="s">
        <x:v>404</x:v>
      </x:c>
      <x:c r="H51" s="14" t="s">
        <x:v>406</x:v>
      </x:c>
    </x:row>
    <x:row r="52" spans="1:9">
      <x:c r="A52" s="17" t="s">
        <x:v>304</x:v>
      </x:c>
      <x:c r="B52" s="9">
        <x:v>20241668</x:v>
      </x:c>
      <x:c r="C52" s="13" t="s">
        <x:v>43</x:v>
      </x:c>
      <x:c r="H52" s="14" t="s">
        <x:v>96</x:v>
      </x:c>
      <x:c r="I52" s="14" t="s">
        <x:v>406</x:v>
      </x:c>
    </x:row>
    <x:row r="53" spans="1:8">
      <x:c r="A53" s="17" t="s">
        <x:v>306</x:v>
      </x:c>
      <x:c r="B53" s="9">
        <x:v>20241669</x:v>
      </x:c>
      <x:c r="C53" s="13" t="s">
        <x:v>22</x:v>
      </x:c>
      <x:c r="G53" s="14" t="s">
        <x:v>96</x:v>
      </x:c>
      <x:c r="H53" s="14" t="s">
        <x:v>281</x:v>
      </x:c>
    </x:row>
    <x:row r="54" spans="1:9">
      <x:c r="A54" s="17" t="s">
        <x:v>314</x:v>
      </x:c>
      <x:c r="B54" s="12">
        <x:v>20241674</x:v>
      </x:c>
      <x:c r="C54" s="12" t="s">
        <x:v>55</x:v>
      </x:c>
      <x:c r="H54" s="14" t="s">
        <x:v>281</x:v>
      </x:c>
      <x:c r="I54" s="14" t="s">
        <x:v>400</x:v>
      </x:c>
    </x:row>
    <x:row r="55" spans="1:8">
      <x:c r="A55" s="17" t="s">
        <x:v>193</x:v>
      </x:c>
      <x:c r="B55" s="12">
        <x:v>20241677</x:v>
      </x:c>
      <x:c r="C55" s="12" t="s">
        <x:v>40</x:v>
      </x:c>
      <x:c r="G55" s="14" t="s">
        <x:v>402</x:v>
      </x:c>
      <x:c r="H55" s="14" t="s">
        <x:v>284</x:v>
      </x:c>
    </x:row>
    <x:row r="56" spans="1:9">
      <x:c r="A56" s="17" t="s">
        <x:v>323</x:v>
      </x:c>
      <x:c r="B56" s="9">
        <x:v>20241679</x:v>
      </x:c>
      <x:c r="C56" s="13" t="s">
        <x:v>41</x:v>
      </x:c>
      <x:c r="H56" s="14" t="s">
        <x:v>96</x:v>
      </x:c>
      <x:c r="I56" s="14" t="s">
        <x:v>282</x:v>
      </x:c>
    </x:row>
    <x:row r="57" spans="1:9">
      <x:c r="A57" s="17" t="s">
        <x:v>319</x:v>
      </x:c>
      <x:c r="B57" s="9">
        <x:v>20241681</x:v>
      </x:c>
      <x:c r="C57" s="13" t="s">
        <x:v>4</x:v>
      </x:c>
      <x:c r="G57" s="14" t="s">
        <x:v>403</x:v>
      </x:c>
      <x:c r="I57" s="14" t="s">
        <x:v>404</x:v>
      </x:c>
    </x:row>
    <x:row r="58" spans="1:8">
      <x:c r="A58" s="17" t="s">
        <x:v>194</x:v>
      </x:c>
      <x:c r="B58" s="12">
        <x:v>20241686</x:v>
      </x:c>
      <x:c r="C58" s="12" t="s">
        <x:v>24</x:v>
      </x:c>
      <x:c r="G58" s="14" t="s">
        <x:v>284</x:v>
      </x:c>
      <x:c r="H58" s="14" t="s">
        <x:v>406</x:v>
      </x:c>
    </x:row>
    <x:row r="59" spans="1:9">
      <x:c r="A59" s="17" t="s">
        <x:v>190</x:v>
      </x:c>
      <x:c r="B59" s="9">
        <x:v>20241688</x:v>
      </x:c>
      <x:c r="C59" s="13" t="s">
        <x:v>46</x:v>
      </x:c>
      <x:c r="G59" s="14" t="s">
        <x:v>283</x:v>
      </x:c>
      <x:c r="I59" s="14" t="s">
        <x:v>416</x:v>
      </x:c>
    </x:row>
    <x:row r="60" spans="1:8">
      <x:c r="A60" s="17" t="s">
        <x:v>313</x:v>
      </x:c>
      <x:c r="B60" s="9">
        <x:v>20241690</x:v>
      </x:c>
      <x:c r="C60" s="13" t="s">
        <x:v>39</x:v>
      </x:c>
      <x:c r="G60" s="14" t="s">
        <x:v>401</x:v>
      </x:c>
      <x:c r="H60" s="14" t="s">
        <x:v>282</x:v>
      </x:c>
    </x:row>
    <x:row r="61" spans="1:8">
      <x:c r="A61" s="17" t="s">
        <x:v>315</x:v>
      </x:c>
      <x:c r="B61" s="9">
        <x:v>20241691</x:v>
      </x:c>
      <x:c r="C61" s="13" t="s">
        <x:v>17</x:v>
      </x:c>
      <x:c r="G61" s="14" t="s">
        <x:v>406</x:v>
      </x:c>
      <x:c r="H61" s="14" t="s">
        <x:v>404</x:v>
      </x:c>
    </x:row>
    <x:row r="62" spans="1:8">
      <x:c r="A62" s="17" t="s">
        <x:v>191</x:v>
      </x:c>
      <x:c r="B62" s="9">
        <x:v>20241692</x:v>
      </x:c>
      <x:c r="C62" s="13" t="s">
        <x:v>16</x:v>
      </x:c>
      <x:c r="G62" s="14" t="s">
        <x:v>284</x:v>
      </x:c>
      <x:c r="H62" s="14" t="s">
        <x:v>402</x:v>
      </x:c>
    </x:row>
    <x:row r="63" spans="1:8">
      <x:c r="A63" s="17" t="s">
        <x:v>324</x:v>
      </x:c>
      <x:c r="B63" s="9">
        <x:v>20241696</x:v>
      </x:c>
      <x:c r="C63" s="13" t="s">
        <x:v>61</x:v>
      </x:c>
      <x:c r="G63" s="14" t="s">
        <x:v>400</x:v>
      </x:c>
      <x:c r="H63" s="14" t="s">
        <x:v>281</x:v>
      </x:c>
    </x:row>
    <x:row r="64" spans="1:9">
      <x:c r="A64" s="17" t="s">
        <x:v>336</x:v>
      </x:c>
      <x:c r="B64" s="9">
        <x:v>20241697</x:v>
      </x:c>
      <x:c r="C64" s="13" t="s">
        <x:v>31</x:v>
      </x:c>
      <x:c r="H64" s="14" t="s">
        <x:v>284</x:v>
      </x:c>
      <x:c r="I64" s="14" t="s">
        <x:v>401</x:v>
      </x:c>
    </x:row>
    <x:row r="65" spans="1:9">
      <x:c r="A65" s="17" t="s">
        <x:v>192</x:v>
      </x:c>
      <x:c r="B65" s="9">
        <x:v>20241708</x:v>
      </x:c>
      <x:c r="C65" s="13" t="s">
        <x:v>62</x:v>
      </x:c>
      <x:c r="H65" s="14" t="s">
        <x:v>416</x:v>
      </x:c>
      <x:c r="I65" s="14" t="s">
        <x:v>284</x:v>
      </x:c>
    </x:row>
    <x:row r="66" spans="1:9">
      <x:c r="A66" s="17" t="s">
        <x:v>329</x:v>
      </x:c>
      <x:c r="B66" s="9">
        <x:v>20241709</x:v>
      </x:c>
      <x:c r="C66" s="13" t="s">
        <x:v>53</x:v>
      </x:c>
      <x:c r="G66" s="14" t="s">
        <x:v>282</x:v>
      </x:c>
      <x:c r="I66" s="14" t="s">
        <x:v>401</x:v>
      </x:c>
    </x:row>
    <x:row r="67" spans="1:8">
      <x:c r="A67" s="17" t="s">
        <x:v>332</x:v>
      </x:c>
      <x:c r="B67" s="12">
        <x:v>20241720</x:v>
      </x:c>
      <x:c r="C67" s="12" t="s">
        <x:v>78</x:v>
      </x:c>
      <x:c r="G67" s="14" t="s">
        <x:v>406</x:v>
      </x:c>
      <x:c r="H67" s="14" t="s">
        <x:v>401</x:v>
      </x:c>
    </x:row>
    <x:row r="68" spans="1:8">
      <x:c r="A68" s="17" t="s">
        <x:v>196</x:v>
      </x:c>
      <x:c r="B68" s="9">
        <x:v>20241723</x:v>
      </x:c>
      <x:c r="C68" s="13" t="s">
        <x:v>36</x:v>
      </x:c>
      <x:c r="G68" s="14" t="s">
        <x:v>416</x:v>
      </x:c>
      <x:c r="H68" s="14" t="s">
        <x:v>284</x:v>
      </x:c>
    </x:row>
    <x:row r="69" spans="1:9">
      <x:c r="A69" s="17" t="s">
        <x:v>200</x:v>
      </x:c>
      <x:c r="B69" s="9">
        <x:v>20241725</x:v>
      </x:c>
      <x:c r="C69" s="13" t="s">
        <x:v>34</x:v>
      </x:c>
      <x:c r="G69" s="14" t="s">
        <x:v>284</x:v>
      </x:c>
      <x:c r="I69" s="14" t="s">
        <x:v>403</x:v>
      </x:c>
    </x:row>
    <x:row r="70" spans="1:9">
      <x:c r="A70" s="17" t="s">
        <x:v>199</x:v>
      </x:c>
      <x:c r="B70" s="9">
        <x:v>20251963</x:v>
      </x:c>
      <x:c r="C70" s="11" t="s">
        <x:v>74</x:v>
      </x:c>
      <x:c r="H70" s="14" t="s">
        <x:v>282</x:v>
      </x:c>
      <x:c r="I70" s="14" t="s">
        <x:v>284</x:v>
      </x:c>
    </x:row>
    <x:row r="71" spans="1:9">
      <x:c r="A71" s="17" t="s">
        <x:v>195</x:v>
      </x:c>
      <x:c r="B71" s="12">
        <x:v>20201901</x:v>
      </x:c>
      <x:c r="C71" s="12" t="s">
        <x:v>9</x:v>
      </x:c>
      <x:c r="H71" s="14" t="s">
        <x:v>283</x:v>
      </x:c>
      <x:c r="I71" s="14" t="s">
        <x:v>403</x:v>
      </x:c>
    </x:row>
    <x:row r="72" spans="1:9">
      <x:c r="A72" s="17" t="s">
        <x:v>333</x:v>
      </x:c>
      <x:c r="B72" s="9">
        <x:v>20251964</x:v>
      </x:c>
      <x:c r="C72" s="11" t="s">
        <x:v>83</x:v>
      </x:c>
      <x:c r="G72" s="14" t="s">
        <x:v>96</x:v>
      </x:c>
      <x:c r="I72" s="14" t="s">
        <x:v>281</x:v>
      </x:c>
    </x:row>
    <x:row r="73" spans="1:8">
      <x:c r="A73" s="17" t="s">
        <x:v>334</x:v>
      </x:c>
      <x:c r="B73" s="9">
        <x:v>20251965</x:v>
      </x:c>
      <x:c r="C73" s="11" t="s">
        <x:v>80</x:v>
      </x:c>
      <x:c r="G73" s="14" t="s">
        <x:v>401</x:v>
      </x:c>
      <x:c r="H73" s="14" t="s">
        <x:v>402</x:v>
      </x:c>
    </x:row>
    <x:row r="74" spans="1:9">
      <x:c r="A74" s="17" t="s">
        <x:v>201</x:v>
      </x:c>
      <x:c r="B74" s="9">
        <x:v>20251966</x:v>
      </x:c>
      <x:c r="C74" s="11" t="s">
        <x:v>25</x:v>
      </x:c>
      <x:c r="G74" s="14" t="s">
        <x:v>284</x:v>
      </x:c>
      <x:c r="I74" s="14" t="s">
        <x:v>402</x:v>
      </x:c>
    </x:row>
    <x:row r="75" spans="1:9">
      <x:c r="A75" s="17" t="s">
        <x:v>197</x:v>
      </x:c>
      <x:c r="B75" s="9">
        <x:v>20251967</x:v>
      </x:c>
      <x:c r="C75" s="11" t="s">
        <x:v>65</x:v>
      </x:c>
      <x:c r="H75" s="14" t="s">
        <x:v>403</x:v>
      </x:c>
      <x:c r="I75" s="14" t="s">
        <x:v>284</x:v>
      </x:c>
    </x:row>
    <x:row r="76" spans="1:9">
      <x:c r="A76" s="17" t="s">
        <x:v>331</x:v>
      </x:c>
      <x:c r="B76" s="9">
        <x:v>20251968</x:v>
      </x:c>
      <x:c r="C76" s="11" t="s">
        <x:v>72</x:v>
      </x:c>
      <x:c r="H76" s="14" t="s">
        <x:v>400</x:v>
      </x:c>
      <x:c r="I76" s="14" t="s">
        <x:v>402</x:v>
      </x:c>
    </x:row>
    <x:row r="77" spans="1:8">
      <x:c r="A77" s="17" t="s">
        <x:v>198</x:v>
      </x:c>
      <x:c r="B77" s="9">
        <x:v>20251969</x:v>
      </x:c>
      <x:c r="C77" s="11" t="s">
        <x:v>81</x:v>
      </x:c>
      <x:c r="G77" s="14" t="s">
        <x:v>283</x:v>
      </x:c>
      <x:c r="H77" s="14" t="s">
        <x:v>416</x:v>
      </x:c>
    </x:row>
    <x:row r="78" spans="1:9">
      <x:c r="A78" s="17" t="s">
        <x:v>202</x:v>
      </x:c>
      <x:c r="B78" s="9">
        <x:v>20251970</x:v>
      </x:c>
      <x:c r="C78" s="11" t="s">
        <x:v>75</x:v>
      </x:c>
      <x:c r="H78" s="14" t="s">
        <x:v>284</x:v>
      </x:c>
      <x:c r="I78" s="14" t="s">
        <x:v>402</x:v>
      </x:c>
    </x:row>
    <x:row r="79" spans="1:9">
      <x:c r="A79" s="17" t="s">
        <x:v>205</x:v>
      </x:c>
      <x:c r="B79" s="9">
        <x:v>20251972</x:v>
      </x:c>
      <x:c r="C79" s="11" t="s">
        <x:v>79</x:v>
      </x:c>
      <x:c r="G79" s="14" t="s">
        <x:v>416</x:v>
      </x:c>
      <x:c r="I79" s="14" t="s">
        <x:v>281</x:v>
      </x:c>
    </x:row>
    <x:row r="80" spans="1:9">
      <x:c r="A80" s="17" t="s">
        <x:v>335</x:v>
      </x:c>
      <x:c r="B80" s="9">
        <x:v>20221774</x:v>
      </x:c>
      <x:c r="C80" s="18" t="s">
        <x:v>76</x:v>
      </x:c>
      <x:c r="H80" s="14" t="s">
        <x:v>400</x:v>
      </x:c>
      <x:c r="I80" s="14" t="s">
        <x:v>283</x:v>
      </x:c>
    </x:row>
    <x:row r="81" spans="1:9">
      <x:c r="A81" s="17" t="s">
        <x:v>204</x:v>
      </x:c>
      <x:c r="B81" s="9">
        <x:v>20221775</x:v>
      </x:c>
      <x:c r="C81" s="18" t="s">
        <x:v>69</x:v>
      </x:c>
      <x:c r="G81" s="14" t="s">
        <x:v>284</x:v>
      </x:c>
      <x:c r="I81" s="14" t="s">
        <x:v>406</x:v>
      </x:c>
    </x:row>
    <x:row r="82" spans="1:8">
      <x:c r="A82" s="17" t="s">
        <x:v>203</x:v>
      </x:c>
      <x:c r="B82" s="9">
        <x:v>20231675</x:v>
      </x:c>
      <x:c r="C82" s="18" t="s">
        <x:v>70</x:v>
      </x:c>
      <x:c r="G82" s="14" t="s">
        <x:v>403</x:v>
      </x:c>
      <x:c r="H82" s="14" t="s">
        <x:v>284</x:v>
      </x:c>
    </x:row>
    <x:row r="83" spans="1:9">
      <x:c r="A83" s="17" t="s">
        <x:v>207</x:v>
      </x:c>
      <x:c r="B83" s="9">
        <x:v>20231688</x:v>
      </x:c>
      <x:c r="C83" s="18" t="s">
        <x:v>85</x:v>
      </x:c>
      <x:c r="G83" s="14" t="s">
        <x:v>416</x:v>
      </x:c>
      <x:c r="I83" s="14" t="s">
        <x:v>284</x:v>
      </x:c>
    </x:row>
    <x:row r="84" spans="1:8">
      <x:c r="A84" s="17" t="s">
        <x:v>330</x:v>
      </x:c>
      <x:c r="B84" s="9">
        <x:v>20231690</x:v>
      </x:c>
      <x:c r="C84" s="18" t="s">
        <x:v>67</x:v>
      </x:c>
      <x:c r="G84" s="14" t="s">
        <x:v>400</x:v>
      </x:c>
      <x:c r="H84" s="14" t="s">
        <x:v>403</x:v>
      </x:c>
    </x:row>
    <x:row r="85" spans="1:9">
      <x:c r="A85" s="17" t="s">
        <x:v>206</x:v>
      </x:c>
      <x:c r="B85" s="9">
        <x:v>20231740</x:v>
      </x:c>
      <x:c r="C85" s="18" t="s">
        <x:v>73</x:v>
      </x:c>
      <x:c r="H85" s="14" t="s">
        <x:v>283</x:v>
      </x:c>
      <x:c r="I85" s="14" t="s">
        <x:v>416</x:v>
      </x:c>
    </x:row>
    <x:row r="86" spans="1:9">
      <x:c r="A86" s="17" t="s">
        <x:v>328</x:v>
      </x:c>
      <x:c r="B86" s="12">
        <x:v>20241889</x:v>
      </x:c>
      <x:c r="C86" s="18" t="s">
        <x:v>71</x:v>
      </x:c>
      <x:c r="G86" s="14" t="s">
        <x:v>402</x:v>
      </x:c>
      <x:c r="I86" s="14" t="s">
        <x:v>404</x:v>
      </x:c>
    </x:row>
  </x:sheetData>
  <x:conditionalFormatting sqref="C54:C54">
    <x:cfRule type="duplicateValues" dxfId="18" priority="3"/>
  </x:conditionalFormatting>
  <x:conditionalFormatting sqref="C55:C55">
    <x:cfRule type="duplicateValues" dxfId="18" priority="2"/>
  </x:conditionalFormatting>
  <x:conditionalFormatting sqref="C56:C56">
    <x:cfRule type="duplicateValues" dxfId="18" priority="1"/>
  </x:conditionalFormatting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배치결과</vt:lpstr>
      <vt:lpstr>명단</vt:lpstr>
      <vt:lpstr>배치결과_이름</vt:lpstr>
      <vt:lpstr>학생별배치요약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jamco</cp:lastModifiedBy>
  <cp:revision>12</cp:revision>
  <dcterms:created xsi:type="dcterms:W3CDTF">2026-01-05T06:05:31.000</dcterms:created>
  <dcterms:modified xsi:type="dcterms:W3CDTF">2026-01-05T06:15:03.961</dcterms:modified>
  <cp:version>0906.0200.01</cp:version>
</cp:coreProperties>
</file>